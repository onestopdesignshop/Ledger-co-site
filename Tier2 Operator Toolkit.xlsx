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1 Budgeting System" sheetId="2" state="visible" r:id="rId4"/>
    <sheet name="02 Debt Payoff Optimizer" sheetId="3" state="visible" r:id="rId5"/>
    <sheet name="03 Retirement Projector" sheetId="4" state="visible" r:id="rId6"/>
    <sheet name="04 Tax-Loss Harvesting" sheetId="5" state="visible" r:id="rId7"/>
    <sheet name="05 Backtesting Framework" sheetId="6" state="visible" r:id="rId8"/>
    <sheet name="06 Strategy Journal" sheetId="7" state="visible" r:id="rId9"/>
    <sheet name="07 Net Worth Dashboard" sheetId="8" state="visible" r:id="rId10"/>
    <sheet name="08 FIRE Timeline Modeler" sheetId="9" state="visible" r:id="rId11"/>
    <sheet name="09 Cash Flow Forecast" sheetId="10" state="visible" r:id="rId12"/>
    <sheet name="10 Runway Calculator" sheetId="11" state="visible" r:id="rId13"/>
    <sheet name="11 3-Statement Model" sheetId="12" state="visible" r:id="rId14"/>
    <sheet name="12 Risk Managemen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<sst xmlns="http://schemas.openxmlformats.org/spreadsheetml/2006/main" count="491" uniqueCount="423">
  <si>
    <t xml:space="preserve">LEDGER &amp; CO.</t>
  </si>
  <si>
    <t xml:space="preserve">CAPITAL SYSTEMS SUITE</t>
  </si>
  <si>
    <t xml:space="preserve">OPERATOR TIER</t>
  </si>
  <si>
    <t xml:space="preserve">Personal Wealth + Business Financial Operations — Excel Toolkit</t>
  </si>
  <si>
    <t xml:space="preserve">WHAT'S INSIDE</t>
  </si>
  <si>
    <t xml:space="preserve">01  Budgeting System</t>
  </si>
  <si>
    <t xml:space="preserve">Zero-based monthly budget with rolling 12-month tracking</t>
  </si>
  <si>
    <t xml:space="preserve">02  Debt Payoff Optimizer</t>
  </si>
  <si>
    <t xml:space="preserve">Avalanche vs. snowball comparison with payoff timeline</t>
  </si>
  <si>
    <t xml:space="preserve">03  Retirement Projector</t>
  </si>
  <si>
    <t xml:space="preserve">Compound growth modeling to target retirement age</t>
  </si>
  <si>
    <t xml:space="preserve">04  Tax-Loss Harvesting Calculator</t>
  </si>
  <si>
    <t xml:space="preserve">Realized/unrealized gain-loss matching and carryforward</t>
  </si>
  <si>
    <t xml:space="preserve">05  Backtesting Framework Template</t>
  </si>
  <si>
    <t xml:space="preserve">Structured trade hypothesis testing log</t>
  </si>
  <si>
    <t xml:space="preserve">06  Strategy Journal System</t>
  </si>
  <si>
    <t xml:space="preserve">Systematic trade and decision journal with review cadence</t>
  </si>
  <si>
    <t xml:space="preserve">07  Net Worth Dashboard</t>
  </si>
  <si>
    <t xml:space="preserve">Consolidated assets, liabilities, and trend tracking</t>
  </si>
  <si>
    <t xml:space="preserve">08  FI/RE Timeline Modeler</t>
  </si>
  <si>
    <t xml:space="preserve">Financial independence date calculator with safe-withdrawal modeling</t>
  </si>
  <si>
    <t xml:space="preserve">09  Cash Flow Forecasting Model</t>
  </si>
  <si>
    <t xml:space="preserve">13-week rolling cash flow projection for business operators</t>
  </si>
  <si>
    <t xml:space="preserve">10  Runway Calculator</t>
  </si>
  <si>
    <t xml:space="preserve">Burn rate and runway tracking for self-employed/business owners</t>
  </si>
  <si>
    <t xml:space="preserve">11  3-Statement Model Starter</t>
  </si>
  <si>
    <t xml:space="preserve">Linked income statement, balance sheet, and cash flow template</t>
  </si>
  <si>
    <t xml:space="preserve">12  Risk Management Framework</t>
  </si>
  <si>
    <t xml:space="preserve">Position sizing, ATR-based stops, and portfolio risk controls</t>
  </si>
  <si>
    <t xml:space="preserve">HOW TO USE THIS WORKBOOK</t>
  </si>
  <si>
    <t xml:space="preserve">•  Gold-shaded cells are inputs — edit these with your own numbers.</t>
  </si>
  <si>
    <t xml:space="preserve">•  White cells contain formulas — these update automatically. Do not overwrite.</t>
  </si>
  <si>
    <t xml:space="preserve">•  Each module is a separate tab. Navigate using the tabs at the bottom of the workbook.</t>
  </si>
  <si>
    <t xml:space="preserve">•  Start with Module 01 (Budgeting) to establish your baseline cash flow before moving to other modules.</t>
  </si>
  <si>
    <t xml:space="preserve">•  This toolkit provides a structured framework for organizing your finances. It is not personalized financial, tax, or legal advice.</t>
  </si>
  <si>
    <t xml:space="preserve">© Ledger &amp; Co. — Licensed for personal use only. Not for resale or redistribution.</t>
  </si>
  <si>
    <t xml:space="preserve">MODULE 01 — BUDGETING SYSTEM</t>
  </si>
  <si>
    <t xml:space="preserve">INCOME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</si>
  <si>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</si>
  <si>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</si>
  <si>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</si>
  <si>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</si>
  <si>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</si>
  <si>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</si>
  <si>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</si>
  <si>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</si>
  <si>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</si>
  <si>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</si>
  <si>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</si>
  <si>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</si>
  <si>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</si>
  <si>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</si>
  <si>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Primary Salary (net)</t>
  </si>
  <si>
    <t xml:space="preserve">Secondary Income</t>
  </si>
  <si>
    <t xml:space="preserve">Business/Side Income</t>
  </si>
  <si>
    <t xml:space="preserve">Investment Income</t>
  </si>
  <si>
    <t xml:space="preserve">Other Income</t>
  </si>
  <si>
    <t xml:space="preserve">TOTAL INCOME</t>
  </si>
  <si>
    <t xml:space="preserve">FIXED &amp; VARIABLE EXPENSES</t>
  </si>
  <si>
    <t xml:space="preserve">Housing</t>
  </si>
  <si>
    <t xml:space="preserve">Rent/Mortgage</t>
  </si>
  <si>
    <t xml:space="preserve">Property Tax/Insurance</t>
  </si>
  <si>
    <t xml:space="preserve">Utilities</t>
  </si>
  <si>
    <t xml:space="preserve">Maintenance/HOA</t>
  </si>
  <si>
    <t xml:space="preserve">Housing Subtotal</t>
  </si>
  <si>
    <t xml:space="preserve">Transportation</t>
  </si>
  <si>
    <t xml:space="preserve">Car Payment</t>
  </si>
  <si>
    <t xml:space="preserve">Insurance</t>
  </si>
  <si>
    <t xml:space="preserve">Fuel/Transit</t>
  </si>
  <si>
    <t xml:space="preserve">Maintenance</t>
  </si>
  <si>
    <t xml:space="preserve">Transportation Subtotal</t>
  </si>
  <si>
    <t xml:space="preserve">Living Essentials</t>
  </si>
  <si>
    <t xml:space="preserve">Groceries</t>
  </si>
  <si>
    <t xml:space="preserve">Healthcare/Insurance</t>
  </si>
  <si>
    <t xml:space="preserve">Phone/Internet</t>
  </si>
  <si>
    <t xml:space="preserve">Childcare</t>
  </si>
  <si>
    <t xml:space="preserve">Living Essentials Subtotal</t>
  </si>
  <si>
    <t xml:space="preserve">Debt Service</t>
  </si>
  <si>
    <t xml:space="preserve">Credit Cards</t>
  </si>
  <si>
    <t xml:space="preserve">Student Loans</t>
  </si>
  <si>
    <t xml:space="preserve">Personal Loans</t>
  </si>
  <si>
    <t xml:space="preserve">Debt Service Subtotal</t>
  </si>
  <si>
    <t xml:space="preserve">Discretionary</t>
  </si>
  <si>
    <t xml:space="preserve">Dining Out</t>
  </si>
  <si>
    <t xml:space="preserve">Entertainment</t>
  </si>
  <si>
    <t xml:space="preserve">Subscriptions</t>
  </si>
  <si>
    <t xml:space="preserve">Shopping</t>
  </si>
  <si>
    <t xml:space="preserve">Travel</t>
  </si>
  <si>
    <t xml:space="preserve">Discretionary Subtotal</t>
  </si>
  <si>
    <t xml:space="preserve">Savings &amp; Investing</t>
  </si>
  <si>
    <t xml:space="preserve">Emergency Fund</t>
  </si>
  <si>
    <t xml:space="preserve">Retirement (401k/IRA)</t>
  </si>
  <si>
    <t xml:space="preserve">Brokerage</t>
  </si>
  <si>
    <t xml:space="preserve">Other Savings Goals</t>
  </si>
  <si>
    <t xml:space="preserve">Savings &amp; Investing Subtotal</t>
  </si>
  <si>
    <t xml:space="preserve">TOTAL EXPENSES</t>
  </si>
  <si>
    <t xml:space="preserve">NET CASH FLOW</t>
  </si>
  <si>
    <t xml:space="preserve">Net Surplus / (Deficit)</t>
  </si>
  <si>
    <t xml:space="preserve">Savings Rate (%)</t>
  </si>
  <si>
    <t xml:space="preserve">MODULE 02 — DEBT PAYOFF OPTIMIZER</t>
  </si>
  <si>
    <t xml:space="preserve">Avalanche vs. Snowball comparison with payoff timeline</t>
  </si>
  <si>
    <t xml:space="preserve">DEBT INVENTORY</t>
  </si>
  <si>
    <t xml:space="preserve">Debt Name</t>
  </si>
  <si>
    <t xml:space="preserve">Balance</t>
  </si>
  <si>
    <t xml:space="preserve">APR (%)</t>
  </si>
  <si>
    <t xml:space="preserve">Min. Payment</t>
  </si>
  <si>
    <t xml:space="preserve">Strategy Priority
(Avalanche)</t>
  </si>
  <si>
    <t xml:space="preserve">Strategy Priority
(Snowball)</t>
  </si>
  <si>
    <t xml:space="preserve">Months to Payoff
(Min. Only)</t>
  </si>
  <si>
    <t xml:space="preserve">Total Interest
(Min. Only)</t>
  </si>
  <si>
    <t xml:space="preserve">Credit Card — Visa</t>
  </si>
  <si>
    <t xml:space="preserve">Credit Card — Amex</t>
  </si>
  <si>
    <t xml:space="preserve">Auto Loan</t>
  </si>
  <si>
    <t xml:space="preserve">Student Loan — Federal</t>
  </si>
  <si>
    <t xml:space="preserve">Personal Loan</t>
  </si>
  <si>
    <t xml:space="preserve">TOTAL</t>
  </si>
  <si>
    <t xml:space="preserve">Extra Monthly Payment Available</t>
  </si>
  <si>
    <t xml:space="preserve">← Amount above minimums to apply via Avalanche or Snowball method</t>
  </si>
  <si>
    <t xml:space="preserve">STRATEGY COMPARISON SUMMARY</t>
  </si>
  <si>
    <t xml:space="preserve">Strategy</t>
  </si>
  <si>
    <t xml:space="preserve">Payoff Order Logic</t>
  </si>
  <si>
    <t xml:space="preserve">Est. Months to Debt-Free</t>
  </si>
  <si>
    <t xml:space="preserve">Est. Total Interest Paid</t>
  </si>
  <si>
    <t xml:space="preserve">Interest Saved vs. Minimums</t>
  </si>
  <si>
    <t xml:space="preserve">Avalanche</t>
  </si>
  <si>
    <t xml:space="preserve">Highest APR first</t>
  </si>
  <si>
    <t xml:space="preserve">Snowball</t>
  </si>
  <si>
    <t xml:space="preserve">Smallest balance first</t>
  </si>
  <si>
    <t xml:space="preserve">Methodology note: Avalanche minimizes total interest by targeting the highest-APR debt first using all extra payment capacity; Snowball builds momentum by eliminating the smallest balance first. Estimates above use simplified amortization approximations for comparison purposes. For an exact month-by-month amortization schedule, extend the model using the per-debt APR and balance figures above with a standard amortization formula, recalculating extra-payment rollover each time a debt is paid in full.</t>
  </si>
  <si>
    <t xml:space="preserve">MODULE 03 — RETIREMENT PROJECTOR</t>
  </si>
  <si>
    <t xml:space="preserve">ASSUMPTIONS</t>
  </si>
  <si>
    <t xml:space="preserve">Current Age</t>
  </si>
  <si>
    <t xml:space="preserve">Target Retirement Age</t>
  </si>
  <si>
    <t xml:space="preserve">Current Retirement Savings</t>
  </si>
  <si>
    <t xml:space="preserve">Monthly Contribution</t>
  </si>
  <si>
    <t xml:space="preserve">Annual Contribution Growth Rate</t>
  </si>
  <si>
    <t xml:space="preserve">Expected Annual Return (pre-retirement)</t>
  </si>
  <si>
    <t xml:space="preserve">Expected Annual Return (post-retirement)</t>
  </si>
  <si>
    <t xml:space="preserve">Expected Annual Inflation Rate</t>
  </si>
  <si>
    <t xml:space="preserve">Desired Annual Retirement Income (today's $)</t>
  </si>
  <si>
    <t xml:space="preserve">Expected Years in Retirement</t>
  </si>
  <si>
    <t xml:space="preserve">KEY OUTPUTS</t>
  </si>
  <si>
    <t xml:space="preserve">Years Until Retirement</t>
  </si>
  <si>
    <t xml:space="preserve">Future Annual Income Need (inflation-adjusted)</t>
  </si>
  <si>
    <t xml:space="preserve">Required Nest Egg (4% Rule, inflation-adjusted)</t>
  </si>
  <si>
    <t xml:space="preserve">Required Nest Egg (Annuity Method, post-return)</t>
  </si>
  <si>
    <t xml:space="preserve">Projected Nest Egg at Retirement</t>
  </si>
  <si>
    <t xml:space="preserve">Surplus / (Shortfall) vs. Annuity Target</t>
  </si>
  <si>
    <t xml:space="preserve">YEAR-BY-YEAR PROJECTION</t>
  </si>
  <si>
    <t xml:space="preserve">Year</t>
  </si>
  <si>
    <t xml:space="preserve">Age</t>
  </si>
  <si>
    <t xml:space="preserve">Beginning Balance</t>
  </si>
  <si>
    <t xml:space="preserve">Annual Contribution</t>
  </si>
  <si>
    <t xml:space="preserve">Investment Growth</t>
  </si>
  <si>
    <t xml:space="preserve">Ending Balance</t>
  </si>
  <si>
    <t xml:space="preserve">Methodology: Pre-retirement years compound monthly contributions (grown annually by the contribution growth rate) at the pre-retirement return assumption using a mid-year convention. Post-retirement years assume the post-retirement return rate with no further contributions. The required nest egg is shown two ways — the simplified 4% Rule and a more precise annuity-depletion calculation over your expected retirement horizon. Schedule rows beyond your target retirement age continue compounding at the post-retirement rate for reference; extend or trim the 40-year schedule as needed for your time horizon.</t>
  </si>
  <si>
    <t xml:space="preserve">MODULE 04 — TAX-LOSS HARVESTING CALCULATOR</t>
  </si>
  <si>
    <t xml:space="preserve">Realized/unrealized gain-loss matching and carryforward tracking</t>
  </si>
  <si>
    <t xml:space="preserve">POSITION-LEVEL GAIN/LOSS LOG</t>
  </si>
  <si>
    <t xml:space="preserve">Security</t>
  </si>
  <si>
    <t xml:space="preserve">Shares</t>
  </si>
  <si>
    <t xml:space="preserve">Cost Basis
(Total)</t>
  </si>
  <si>
    <t xml:space="preserve">Current Value
(Total)</t>
  </si>
  <si>
    <t xml:space="preserve">Unrealized
Gain/(Loss)</t>
  </si>
  <si>
    <t xml:space="preserve">Holding Period</t>
  </si>
  <si>
    <t xml:space="preserve">Term</t>
  </si>
  <si>
    <t xml:space="preserve">Action</t>
  </si>
  <si>
    <t xml:space="preserve">Realized
Gain/(Loss)</t>
  </si>
  <si>
    <t xml:space="preserve">Tech Growth ETF</t>
  </si>
  <si>
    <t xml:space="preserve">REIT Index Fund</t>
  </si>
  <si>
    <t xml:space="preserve">International Equity Fund</t>
  </si>
  <si>
    <t xml:space="preserve">Bond Fund — Aggregate</t>
  </si>
  <si>
    <t xml:space="preserve">Small-Cap Value Fund</t>
  </si>
  <si>
    <t xml:space="preserve">ANNUAL NETTING &amp; CARRYFORWARD</t>
  </si>
  <si>
    <t xml:space="preserve">Total Harvested Losses (this year)</t>
  </si>
  <si>
    <t xml:space="preserve">Short-Term Capital Gains (realized elsewhere, input)</t>
  </si>
  <si>
    <t xml:space="preserve">Long-Term Capital Gains (realized elsewhere, input)</t>
  </si>
  <si>
    <t xml:space="preserve">Prior-Year Capital Loss Carryforward (input)</t>
  </si>
  <si>
    <t xml:space="preserve">Net Capital Gain/(Loss) Before Annual Deduction Limit</t>
  </si>
  <si>
    <t xml:space="preserve">Annual Ordinary-Income Offset Limit (IRS: $3,000 / $1,500 MFS)</t>
  </si>
  <si>
    <t xml:space="preserve">Usable Loss This Year (against ordinary income)</t>
  </si>
  <si>
    <t xml:space="preserve">Loss Carryforward to Next Year</t>
  </si>
  <si>
    <t xml:space="preserve">Methodology: Positions flagged "Harvest Candidate" have unrealized losses. Net all realized short- and long-term gains/losses plus any harvested losses and prior carryforward. U.S. tax law currently allows up to $3,000 ($1,500 if married filing separately) of net capital loss to offset ordinary income annually; remaining losses carry forward indefinitely. Be mindful of wash-sale rules — repurchasing a substantially identical security within 30 days before or after a harvest sale disallows the loss. This calculator is a planning aid, not tax advice; confirm treatment with a qualified tax professional before filing.</t>
  </si>
  <si>
    <t xml:space="preserve">MODULE 05 — BACKTESTING FRAMEWORK TEMPLATE</t>
  </si>
  <si>
    <t xml:space="preserve">STRATEGY HYPOTHESIS DEFINITION</t>
  </si>
  <si>
    <t xml:space="preserve">Strategy Name</t>
  </si>
  <si>
    <t xml:space="preserve">e.g. RSI Mean-Reversion, 5-min candles</t>
  </si>
  <si>
    <t xml:space="preserve">Hypothesis</t>
  </si>
  <si>
    <t xml:space="preserve">e.g. Price reverts to mean after RSI(14) &lt; 30 on 5-min timeframe in low-volatility regime</t>
  </si>
  <si>
    <t xml:space="preserve">Entry Rule</t>
  </si>
  <si>
    <t xml:space="preserve">e.g. Long when RSI(14) crosses above 30 AND price &gt; 20-period VWAP</t>
  </si>
  <si>
    <t xml:space="preserve">Exit Rule</t>
  </si>
  <si>
    <t xml:space="preserve">e.g. Exit at 1.5x ATR(14) profit target OR 1x ATR(14) stop-loss OR EOD</t>
  </si>
  <si>
    <t xml:space="preserve">Position Sizing Rule</t>
  </si>
  <si>
    <t xml:space="preserve">e.g. Risk 1% of account equity per trade, sized to stop distance</t>
  </si>
  <si>
    <t xml:space="preserve">Universe / Instruments Tested</t>
  </si>
  <si>
    <t xml:space="preserve">e.g. TQQQ, SPY, QQQ</t>
  </si>
  <si>
    <t xml:space="preserve">Test Period</t>
  </si>
  <si>
    <t xml:space="preserve">e.g. Jan 2023 – Dec 2025</t>
  </si>
  <si>
    <t xml:space="preserve">Timeframe</t>
  </si>
  <si>
    <t xml:space="preserve">e.g. 5-minute candles</t>
  </si>
  <si>
    <t xml:space="preserve">BACKTEST RESULTS LOG</t>
  </si>
  <si>
    <t xml:space="preserve">Run #</t>
  </si>
  <si>
    <t xml:space="preserve">Date Tested</t>
  </si>
  <si>
    <t xml:space="preserve">Param. Set</t>
  </si>
  <si>
    <t xml:space="preserve"># Trades</t>
  </si>
  <si>
    <t xml:space="preserve">Win Rate</t>
  </si>
  <si>
    <t xml:space="preserve">Avg Win</t>
  </si>
  <si>
    <t xml:space="preserve">Avg Loss</t>
  </si>
  <si>
    <t xml:space="preserve">Profit Factor</t>
  </si>
  <si>
    <t xml:space="preserve">Max Drawdown</t>
  </si>
  <si>
    <t xml:space="preserve">Sharpe Ratio</t>
  </si>
  <si>
    <t xml:space="preserve">Net Return</t>
  </si>
  <si>
    <t xml:space="preserve">Verdict</t>
  </si>
  <si>
    <t xml:space="preserve">Methodology: Define one hypothesis, test multiple parameter sets against it, and log results systematically rather than relying on memory or screenshots. Profit Factor = (Win Rate × Avg Win) / (Loss Rate × |Avg Loss|); a Profit Factor below 1.0 means the strategy loses money over the test period regardless of win rate. Promotion criteria above (Profit Factor ≥ 1.5, Sharpe ≥ 1, Max Drawdown ≤ 20%) are a conservative starting framework — adjust thresholds to match your risk tolerance and capital base. Always validate on out-of-sample data and paper-trade before committing real capital; historical backtest performance does not guarantee future results.</t>
  </si>
  <si>
    <t xml:space="preserve">MODULE 06 — STRATEGY JOURNAL SYSTEM</t>
  </si>
  <si>
    <t xml:space="preserve">TRADE / DECISION LOG</t>
  </si>
  <si>
    <t xml:space="preserve">Date</t>
  </si>
  <si>
    <t xml:space="preserve">Time</t>
  </si>
  <si>
    <t xml:space="preserve">Instrument</t>
  </si>
  <si>
    <t xml:space="preserve">Side</t>
  </si>
  <si>
    <t xml:space="preserve">Entry</t>
  </si>
  <si>
    <t xml:space="preserve">Exit</t>
  </si>
  <si>
    <t xml:space="preserve">Size</t>
  </si>
  <si>
    <t xml:space="preserve">Result
($)</t>
  </si>
  <si>
    <t xml:space="preserve">Result
(R-multiple)</t>
  </si>
  <si>
    <t xml:space="preserve">Setup / Reason</t>
  </si>
  <si>
    <t xml:space="preserve">Lesson / Note</t>
  </si>
  <si>
    <t xml:space="preserve">Emotional
State (1-5)</t>
  </si>
  <si>
    <t xml:space="preserve">PERFORMANCE STATISTICS (AUTO-CALCULATED)</t>
  </si>
  <si>
    <t xml:space="preserve">Total Trades Logged</t>
  </si>
  <si>
    <t xml:space="preserve">Average Win ($)</t>
  </si>
  <si>
    <t xml:space="preserve">Average Loss ($)</t>
  </si>
  <si>
    <t xml:space="preserve">Average R-Multiple</t>
  </si>
  <si>
    <t xml:space="preserve">Total Net Result ($)</t>
  </si>
  <si>
    <t xml:space="preserve">Average Emotional State</t>
  </si>
  <si>
    <t xml:space="preserve">WEEKLY / MONTHLY REVIEW CADENCE</t>
  </si>
  <si>
    <t xml:space="preserve">1. What pattern shows up most across my winning trades this period?</t>
  </si>
  <si>
    <t xml:space="preserve">2. What pattern shows up most across my losing trades this period?</t>
  </si>
  <si>
    <t xml:space="preserve">3. Did I follow my entry/exit/sizing rules exactly, or did I deviate? Where, and why?</t>
  </si>
  <si>
    <t xml:space="preserve">4. What is the single highest-leverage adjustment I can make next period?</t>
  </si>
  <si>
    <t xml:space="preserve">5. Is my emotional state trending in a direction that correlates with performance?</t>
  </si>
  <si>
    <t xml:space="preserve">MODULE 07 — NET WORTH DASHBOARD</t>
  </si>
  <si>
    <t xml:space="preserve">ASSETS</t>
  </si>
  <si>
    <t xml:space="preserve">Asset</t>
  </si>
  <si>
    <t xml:space="preserve">Q1 (Current Year)</t>
  </si>
  <si>
    <t xml:space="preserve">Q2 (Current Year)</t>
  </si>
  <si>
    <t xml:space="preserve">Q3 (Current Year)</t>
  </si>
  <si>
    <t xml:space="preserve">Q4 (Current Year)</t>
  </si>
  <si>
    <t xml:space="preserve">YoY Change</t>
  </si>
  <si>
    <t xml:space="preserve">% of Total Assets</t>
  </si>
  <si>
    <t xml:space="preserve">Cash &amp; Checking</t>
  </si>
  <si>
    <t xml:space="preserve">Emergency Fund (HYSA)</t>
  </si>
  <si>
    <t xml:space="preserve">Brokerage — Taxable</t>
  </si>
  <si>
    <t xml:space="preserve">Retirement — 401(k)/IRA</t>
  </si>
  <si>
    <t xml:space="preserve">Robinhood — Trading Accounts</t>
  </si>
  <si>
    <t xml:space="preserve">Real Estate (est. equity)</t>
  </si>
  <si>
    <t xml:space="preserve">Vehicles (depreciated value)</t>
  </si>
  <si>
    <t xml:space="preserve">Other Assets</t>
  </si>
  <si>
    <t xml:space="preserve">TOTAL ASSETS</t>
  </si>
  <si>
    <t xml:space="preserve">LIABILITIES</t>
  </si>
  <si>
    <t xml:space="preserve">Liability</t>
  </si>
  <si>
    <t xml:space="preserve">% of Total Liabilities</t>
  </si>
  <si>
    <t xml:space="preserve">Mortgage Balance</t>
  </si>
  <si>
    <t xml:space="preserve">Credit Card Balances</t>
  </si>
  <si>
    <t xml:space="preserve">TOTAL LIABILITIES</t>
  </si>
  <si>
    <t xml:space="preserve">NET WORTH SUMMARY</t>
  </si>
  <si>
    <t xml:space="preserve">NET WORTH</t>
  </si>
  <si>
    <t xml:space="preserve">Debt-to-Asset Ratio</t>
  </si>
  <si>
    <t xml:space="preserve">Liquidity Ratio (Cash+Emergency / Total Liabilities)</t>
  </si>
  <si>
    <t xml:space="preserve">MODULE 08 — FI/RE TIMELINE MODELER</t>
  </si>
  <si>
    <t xml:space="preserve">Current Invested Assets</t>
  </si>
  <si>
    <t xml:space="preserve">Current Annual Spending</t>
  </si>
  <si>
    <t xml:space="preserve">Annual Savings (current)</t>
  </si>
  <si>
    <t xml:space="preserve">Expected Annual Investment Return</t>
  </si>
  <si>
    <t xml:space="preserve">Expected Annual Inflation</t>
  </si>
  <si>
    <t xml:space="preserve">Target Safe Withdrawal Rate</t>
  </si>
  <si>
    <t xml:space="preserve">Annual Savings Growth Rate (raises/income growth)</t>
  </si>
  <si>
    <t xml:space="preserve">FI NUMBER &amp; TIMELINE</t>
  </si>
  <si>
    <t xml:space="preserve">FI Number (Annual Spending ÷ SWR)</t>
  </si>
  <si>
    <t xml:space="preserve">Current Gap to FI Number</t>
  </si>
  <si>
    <t xml:space="preserve">YEAR-BY-YEAR FI PROJECTION</t>
  </si>
  <si>
    <t xml:space="preserve">Annual Savings</t>
  </si>
  <si>
    <t xml:space="preserve">FI Number (infl. adj.)</t>
  </si>
  <si>
    <t xml:space="preserve">FI Achieved?</t>
  </si>
  <si>
    <t xml:space="preserve">Estimated Years to Financial Independence</t>
  </si>
  <si>
    <t xml:space="preserve">Methodology: The FI Number is the invested-asset balance whose annual withdrawal at your target Safe Withdrawal Rate (commonly 4%, based on Trinity Study / 'Trinity' research, though many practitioners now use 3.25%–3.5% for longer horizons) covers your annual spending in perpetuity. The projection compounds savings growth and investment returns annually with a mid-year contribution convention, and inflates the FI Number each year so the comparison stays apples-to-apples in real terms. Extend the 30-year schedule if your horizon is longer.</t>
  </si>
  <si>
    <t xml:space="preserve">MODULE 09 — CASH FLOW FORECASTING MODEL</t>
  </si>
  <si>
    <t xml:space="preserve">CASH INFLOWS</t>
  </si>
  <si>
    <t xml:space="preserve">Week Beginning →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</si>
  <si>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</si>
  <si>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</si>
  <si>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</si>
  <si>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</si>
  <si>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</si>
  <si>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</si>
  <si>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</si>
  <si>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</si>
  <si>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</si>
  <si>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</si>
  <si>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</si>
  <si>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</si>
  <si>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</si>
  <si>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13-Wk Total</t>
  </si>
  <si>
    <t xml:space="preserve">OSDS — Lemon Squeezy Sales</t>
  </si>
  <si>
    <t xml:space="preserve">Ledger &amp; Co. — Subscription Revenue</t>
  </si>
  <si>
    <t xml:space="preserve">Aldgate &amp; Co. — Sales</t>
  </si>
  <si>
    <t xml:space="preserve">Other/Misc. Income</t>
  </si>
  <si>
    <t xml:space="preserve">TOTAL CASH IN</t>
  </si>
  <si>
    <t xml:space="preserve">CASH OUTFLOWS</t>
  </si>
  <si>
    <t xml:space="preserve">Hosting/Infrastructure (Supabase, GitHub)</t>
  </si>
  <si>
    <t xml:space="preserve">Payment Processing Fees</t>
  </si>
  <si>
    <t xml:space="preserve">Software/Tooling Subscriptions</t>
  </si>
  <si>
    <t xml:space="preserve">Contractor/Freelance Costs</t>
  </si>
  <si>
    <t xml:space="preserve">Marketing/Ads</t>
  </si>
  <si>
    <t xml:space="preserve">Taxes (estimated quarterly)</t>
  </si>
  <si>
    <t xml:space="preserve">Owner Draw</t>
  </si>
  <si>
    <t xml:space="preserve">TOTAL CASH OUT</t>
  </si>
  <si>
    <t xml:space="preserve">NET CASH POSITION</t>
  </si>
  <si>
    <t xml:space="preserve">Beginning Cash Balance</t>
  </si>
  <si>
    <t xml:space="preserve">Net Cash Flow (In - Out)</t>
  </si>
  <si>
    <t xml:space="preserve">Ending Cash Balance</t>
  </si>
  <si>
    <t xml:space="preserve">MODULE 10 — RUNWAY CALCULATOR</t>
  </si>
  <si>
    <t xml:space="preserve">Burn rate and runway tracking for self-employed / business owners</t>
  </si>
  <si>
    <t xml:space="preserve">CURRENT POSITION</t>
  </si>
  <si>
    <t xml:space="preserve">Current Cash on Hand (all business accounts)</t>
  </si>
  <si>
    <t xml:space="preserve">Average Monthly Revenue (trailing 3-mo.)</t>
  </si>
  <si>
    <t xml:space="preserve">Average Monthly Operating Expenses</t>
  </si>
  <si>
    <t xml:space="preserve">Average Monthly Owner Draw</t>
  </si>
  <si>
    <t xml:space="preserve">Monthly Revenue Growth Rate (assumption)</t>
  </si>
  <si>
    <t xml:space="preserve">BURN RATE &amp; RUNWAY</t>
  </si>
  <si>
    <t xml:space="preserve">Net Monthly Burn (Opex + Draw - Revenue)</t>
  </si>
  <si>
    <t xml:space="preserve">Runway at Current Burn (months)</t>
  </si>
  <si>
    <t xml:space="preserve">Revenue Needed to Break Even</t>
  </si>
  <si>
    <t xml:space="preserve">12-MONTH RUNWAY PROJECTION</t>
  </si>
  <si>
    <t xml:space="preserve">Month</t>
  </si>
  <si>
    <t xml:space="preserve">Beginning Cash</t>
  </si>
  <si>
    <t xml:space="preserve">Revenue</t>
  </si>
  <si>
    <t xml:space="preserve">Opex + Draw</t>
  </si>
  <si>
    <t xml:space="preserve">Net Change</t>
  </si>
  <si>
    <t xml:space="preserve">Ending Cash</t>
  </si>
  <si>
    <t xml:space="preserve">Methodology: Static runway (above) assumes flat revenue at the trailing-3-month average. The 12-month schedule instead grows revenue monthly at your assumed growth rate, giving a more realistic picture if revenue is trending up or down. Watch the Ending Cash column — the month it turns negative is your effective deadline to either cut burn, raise revenue, or raise capital. Recalculate monthly with actuals to keep this forward-looking.</t>
  </si>
  <si>
    <t xml:space="preserve">MODULE 11 — 3-STATEMENT MODEL STARTER</t>
  </si>
  <si>
    <t xml:space="preserve">Linked income statement, balance sheet, and cash flow template (annual, 3-year projection)</t>
  </si>
  <si>
    <t xml:space="preserve">INCOME STATEMENT</t>
  </si>
  <si>
    <t xml:space="preserve">($ Units)</t>
  </si>
  <si>
    <t xml:space="preserve">Opening</t>
  </si>
  <si>
    <t xml:space="preserve">Year 1 (Actual)</t>
  </si>
  <si>
    <t xml:space="preserve">Year 2 (Proj.)</t>
  </si>
  <si>
    <t xml:space="preserve">Year 3 (Proj.)</t>
  </si>
  <si>
    <t xml:space="preserve">Revenue Growth Assumption</t>
  </si>
  <si>
    <t xml:space="preserve">COGS (% of Revenue)</t>
  </si>
  <si>
    <t xml:space="preserve">Gross Profit</t>
  </si>
  <si>
    <t xml:space="preserve">Hosting/Infrastructure</t>
  </si>
  <si>
    <t xml:space="preserve">Software &amp; Tooling</t>
  </si>
  <si>
    <t xml:space="preserve">Marketing</t>
  </si>
  <si>
    <t xml:space="preserve">Contractor/Freelance</t>
  </si>
  <si>
    <t xml:space="preserve">Owner Compensation</t>
  </si>
  <si>
    <t xml:space="preserve">Total Operating Expenses</t>
  </si>
  <si>
    <t xml:space="preserve">EBITDA</t>
  </si>
  <si>
    <t xml:space="preserve">Depreciation &amp; Amortization</t>
  </si>
  <si>
    <t xml:space="preserve">EBIT (Operating Income)</t>
  </si>
  <si>
    <t xml:space="preserve">Effective Tax Rate</t>
  </si>
  <si>
    <t xml:space="preserve">Tax Expense</t>
  </si>
  <si>
    <t xml:space="preserve">NET INCOME</t>
  </si>
  <si>
    <t xml:space="preserve">BALANCE SHEET</t>
  </si>
  <si>
    <t xml:space="preserve">Cash &amp; Equivalents</t>
  </si>
  <si>
    <t xml:space="preserve">Accounts Receivable</t>
  </si>
  <si>
    <t xml:space="preserve">Equipment &amp; Fixed Assets (net)</t>
  </si>
  <si>
    <t xml:space="preserve">Accounts Payable</t>
  </si>
  <si>
    <t xml:space="preserve">Business Debt / Loans</t>
  </si>
  <si>
    <t xml:space="preserve">EQUITY</t>
  </si>
  <si>
    <t xml:space="preserve">Beginning Owner's Equity</t>
  </si>
  <si>
    <t xml:space="preserve">Net Income, Current Year</t>
  </si>
  <si>
    <t xml:space="preserve">Owner Draws / Distributions</t>
  </si>
  <si>
    <t xml:space="preserve">TOTAL EQUITY</t>
  </si>
  <si>
    <t xml:space="preserve">TOTAL LIABILITIES + EQUITY</t>
  </si>
  <si>
    <t xml:space="preserve">Balance Check (Assets − Liab&amp;Equity)</t>
  </si>
  <si>
    <t xml:space="preserve">CASH FLOW STATEMENT</t>
  </si>
  <si>
    <t xml:space="preserve">Operating Activities</t>
  </si>
  <si>
    <t xml:space="preserve">Net Income</t>
  </si>
  <si>
    <t xml:space="preserve">+ Depreciation &amp; Amortization</t>
  </si>
  <si>
    <t xml:space="preserve">(Increase)/Decrease in A/R</t>
  </si>
  <si>
    <t xml:space="preserve">Increase/(Decrease) in A/P</t>
  </si>
  <si>
    <t xml:space="preserve">Net Cash from Operating Activities</t>
  </si>
  <si>
    <t xml:space="preserve">Investing Activities</t>
  </si>
  <si>
    <t xml:space="preserve">Capital Expenditures</t>
  </si>
  <si>
    <t xml:space="preserve">Net Cash from Investing Activities</t>
  </si>
  <si>
    <t xml:space="preserve">Financing Activities</t>
  </si>
  <si>
    <t xml:space="preserve">Debt Repayment</t>
  </si>
  <si>
    <t xml:space="preserve">Net Cash from Financing Activities</t>
  </si>
  <si>
    <t xml:space="preserve">NET CHANGE IN CASH</t>
  </si>
  <si>
    <t xml:space="preserve">ENDING CASH BALANCE</t>
  </si>
  <si>
    <t xml:space="preserve">Methodology: This is a fully-linked 3-statement model with an explicit Opening (Year 0) balance sheet column, which is the standard and most reliable way to guarantee the model balances — Opening Equity is solved as a plug (Opening Assets − Opening Liabilities) so the starting position is internally consistent by construction. From there, Net Income flows into both the Cash Flow Statement and the Balance Sheet (via the equity roll-forward), and the Cash Flow Statement's Ending Cash becomes next period's Balance Sheet cash and this period's Beginning Cash — closing the loop. The Balance Check row should read $0 (shown in green) in every column; investigate immediately if any column turns red. Extend with multi-year debt amortization schedules, working-capital day-count assumptions (DSO/DPO), or a revolver/cash-sweep mechanism as the business scales.</t>
  </si>
  <si>
    <t xml:space="preserve">MODULE 12 — RISK MANAGEMENT FRAMEWORK</t>
  </si>
  <si>
    <t xml:space="preserve">ACCOUNT RISK PARAMETERS</t>
  </si>
  <si>
    <t xml:space="preserve">Total Account Equity</t>
  </si>
  <si>
    <t xml:space="preserve">Max Risk Per Trade (% of equity)</t>
  </si>
  <si>
    <t xml:space="preserve">Max Portfolio Heat (sum of open-position risk, % of equity)</t>
  </si>
  <si>
    <t xml:space="preserve">Max Single-Position Size (% of equity)</t>
  </si>
  <si>
    <t xml:space="preserve">Max Correlated-Position Exposure (% of equity)</t>
  </si>
  <si>
    <t xml:space="preserve">Daily Loss Limit (% of equity — stop trading for the day)</t>
  </si>
  <si>
    <t xml:space="preserve">POSITION SIZING CALCULATOR (ATR-BASED)</t>
  </si>
  <si>
    <t xml:space="preserve">Ticker</t>
  </si>
  <si>
    <t xml:space="preserve">Entry Price</t>
  </si>
  <si>
    <t xml:space="preserve">ATR (14)</t>
  </si>
  <si>
    <t xml:space="preserve">Stop Distance
(× ATR)</t>
  </si>
  <si>
    <t xml:space="preserve">Stop Price</t>
  </si>
  <si>
    <t xml:space="preserve">$ Risk/Share</t>
  </si>
  <si>
    <t xml:space="preserve">Max Shares
(Risk-Based)</t>
  </si>
  <si>
    <t xml:space="preserve">Max Shares
(Position-Cap)</t>
  </si>
  <si>
    <t xml:space="preserve">Shares to Trade
(Lesser of Two)</t>
  </si>
  <si>
    <t xml:space="preserve">Position Risk ($)</t>
  </si>
  <si>
    <t xml:space="preserve">TQQQ</t>
  </si>
  <si>
    <t xml:space="preserve">SPY</t>
  </si>
  <si>
    <t xml:space="preserve">QQQ</t>
  </si>
  <si>
    <t xml:space="preserve">TOTAL OPEN-POSITION RISK ($)</t>
  </si>
  <si>
    <t xml:space="preserve">Current Portfolio Heat (% of equity)</t>
  </si>
  <si>
    <t xml:space="preserve">Status vs. Max Portfolio Heat Limit</t>
  </si>
  <si>
    <t xml:space="preserve">DRAWDOWN RECOVERY REFERENCE</t>
  </si>
  <si>
    <t xml:space="preserve">Drawdown (%)</t>
  </si>
  <si>
    <t xml:space="preserve">Gain Required to Recover (%)</t>
  </si>
  <si>
    <t xml:space="preserve">Methodology: Position size is the lesser of (a) the risk-based size — account equity × max risk-per-trade, divided by the dollar distance from entry to stop — and (b) the position-cap size — account equity × max single-position percentage, divided by entry price. This prevents both over-risking on a single stop-out and over-concentrating capital in one name regardless of stop distance. Portfolio Heat sums dollar risk (not dollar exposure) across all open positions; keeping it under your stated limit caps the damage from a correlated adverse move across multiple positions simultaneously. The Drawdown Recovery table is a discipline reminder: a 50% drawdown requires a 100% gain to recover, which is why position sizing and daily/portfolio loss limits matter more than any single trade's expected value. This framework documents methodology and risk controls — it does not constitute investment advice, and does not include live trading system code, API credentials, or proprietary signal logic.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</si>
</sst>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"/>
    <numFmt numFmtId="169" formatCode="mm/dd/yyyy"/>
    <numFmt numFmtId="170" formatCode="0.00"/>
    <numFmt numFmtId="171" formatCode="hh:mm"/>
    <numFmt numFmtId="172" formatCode="\$#,##0.00;&quot;($&quot;#,##0.00\);\-"/>
    <numFmt numFmtId="173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B2A4A"/>
      <name val="Calibri"/>
      <family val="0"/>
      <charset val="1"/>
    </font>
    <font>
      <b val="true"/>
      <sz val="16"/>
      <color rgb="FFC9A227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12"/>
      <color rgb="FF44546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.5"/>
      <color rgb="FF1B2A4A"/>
      <name val="Calibri"/>
      <family val="0"/>
      <charset val="1"/>
    </font>
    <font>
      <i val="true"/>
      <sz val="9.5"/>
      <color rgb="FF44546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.5"/>
      <color rgb="FF000000"/>
      <name val="Calibri"/>
      <family val="0"/>
      <charset val="1"/>
    </font>
    <font>
      <i val="true"/>
      <sz val="8.5"/>
      <color rgb="FF44546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44546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i val="true"/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44546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546A"/>
        <bgColor rgb="FF674F84"/>
      </patternFill>
    </fill>
    <fill>
      <patternFill patternType="solid">
        <fgColor rgb="FF1B2A4A"/>
        <bgColor rgb="FF003366"/>
      </patternFill>
    </fill>
    <fill>
      <patternFill patternType="solid">
        <fgColor rgb="FFC9A227"/>
        <bgColor rgb="FFDC853E"/>
      </patternFill>
    </fill>
    <fill>
      <patternFill patternType="solid">
        <fgColor rgb="FFF4E9C8"/>
        <bgColor rgb="FFF2F2F2"/>
      </patternFill>
    </fill>
    <fill>
      <patternFill patternType="solid">
        <fgColor rgb="FFF2F2F2"/>
        <bgColor rgb="FFE8ECF3"/>
      </patternFill>
    </fill>
    <fill>
      <patternFill patternType="solid">
        <fgColor rgb="FFE8EC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09493"/>
      <rgbColor rgb="FFFF00FF"/>
      <rgbColor rgb="FF00FFFF"/>
      <rgbColor rgb="FF800000"/>
      <rgbColor rgb="FF8AA64F"/>
      <rgbColor rgb="FF000080"/>
      <rgbColor rgb="FF7E9945"/>
      <rgbColor rgb="FF800080"/>
      <rgbColor rgb="FF4299B0"/>
      <rgbColor rgb="FFBFBFBF"/>
      <rgbColor rgb="FF878787"/>
      <rgbColor rgb="FF93A9CE"/>
      <rgbColor rgb="FF9D3E3B"/>
      <rgbColor rgb="FFF2F2F2"/>
      <rgbColor rgb="FFE8ECF3"/>
      <rgbColor rgb="FF660066"/>
      <rgbColor rgb="FFDC853E"/>
      <rgbColor rgb="FF7D5FA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B8CD97"/>
      <rgbColor rgb="FFC6EFCE"/>
      <rgbColor rgb="FFF4E9C8"/>
      <rgbColor rgb="FF92C3D5"/>
      <rgbColor rgb="FFF8B590"/>
      <rgbColor rgb="FFA5B5D3"/>
      <rgbColor rgb="FFFFC7CE"/>
      <rgbColor rgb="FF4A7EBB"/>
      <rgbColor rgb="FF46AAC4"/>
      <rgbColor rgb="FF98B855"/>
      <rgbColor rgb="FFC9A227"/>
      <rgbColor rgb="FFF59240"/>
      <rgbColor rgb="FFCB7934"/>
      <rgbColor rgb="FF725990"/>
      <rgbColor rgb="FFA99BBD"/>
      <rgbColor rgb="FF003366"/>
      <rgbColor rgb="FF398BA2"/>
      <rgbColor rgb="FF003300"/>
      <rgbColor rgb="FF674F84"/>
      <rgbColor rgb="FFBE4B48"/>
      <rgbColor rgb="FFAB4744"/>
      <rgbColor rgb="FF44546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System'!$C$61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System'!$D$61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System'!$E$61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System'!$F$61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System'!$G$61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System'!$H$61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System'!$I$61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System'!$J$61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System'!$K$61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System'!$L$61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rgbClr val="92c3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System'!$M$61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rgbClr val="f8b5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Budgeting System'!$C$6:$N$6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 Budgeting System'!$N$61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87125867"/>
        <c:axId val="534740"/>
      </c:barChart>
      <c:catAx>
        <c:axId val="87125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740"/>
        <c:crosses val="autoZero"/>
        <c:auto val="1"/>
        <c:lblAlgn val="ctr"/>
        <c:lblOffset val="100"/>
        <c:noMultiLvlLbl val="0"/>
      </c:catAx>
      <c:valAx>
        <c:axId val="534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25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Avalanche vs. Snowball — Months to Debt-Free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 Debt Payoff Optimizer'!D17</c:f>
              <c:strCache>
                <c:ptCount val="1"/>
                <c:pt idx="0">
                  <c:v>Est. Months to Debt-Free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 Debt Payoff Optimizer'!$B$18:$B$19</c:f>
              <c:strCache>
                <c:ptCount val="2"/>
                <c:pt idx="0">
                  <c:v>Avalanche</c:v>
                </c:pt>
                <c:pt idx="1">
                  <c:v>Snowball</c:v>
                </c:pt>
              </c:strCache>
            </c:strRef>
          </c:cat>
          <c:val>
            <c:numRef>
              <c:f>'02 Debt Payoff Optimizer'!$D$18:$D$19</c:f>
              <c:numCache>
                <c:formatCode>0</c:formatCode>
                <c:ptCount val="2"/>
                <c:pt idx="0">
                  <c:v>92</c:v>
                </c:pt>
                <c:pt idx="1">
                  <c:v>96</c:v>
                </c:pt>
              </c:numCache>
            </c:numRef>
          </c:val>
        </c:ser>
        <c:gapWidth val="150"/>
        <c:overlap val="0"/>
        <c:axId val="9110655"/>
        <c:axId val="44242855"/>
      </c:barChart>
      <c:catAx>
        <c:axId val="911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42855"/>
        <c:crosses val="autoZero"/>
        <c:auto val="1"/>
        <c:lblAlgn val="ctr"/>
        <c:lblOffset val="100"/>
        <c:noMultiLvlLbl val="0"/>
      </c:catAx>
      <c:valAx>
        <c:axId val="44242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0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Retirement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 Retirement Projector'!G27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1b2a4a"/>
            </a:solidFill>
            <a:ln w="2844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Retirement Projector'!$C$28:$C$67</c:f>
              <c:strCache>
                <c:ptCount val="40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51</c:v>
                </c:pt>
                <c:pt idx="20">
                  <c:v>52</c:v>
                </c:pt>
                <c:pt idx="21">
                  <c:v>53</c:v>
                </c:pt>
                <c:pt idx="22">
                  <c:v>54</c:v>
                </c:pt>
                <c:pt idx="23">
                  <c:v>55</c:v>
                </c:pt>
                <c:pt idx="24">
                  <c:v>56</c:v>
                </c:pt>
                <c:pt idx="25">
                  <c:v>57</c:v>
                </c:pt>
                <c:pt idx="26">
                  <c:v>58</c:v>
                </c:pt>
                <c:pt idx="27">
                  <c:v>59</c:v>
                </c:pt>
                <c:pt idx="28">
                  <c:v>60</c:v>
                </c:pt>
                <c:pt idx="29">
                  <c:v>61</c:v>
                </c:pt>
                <c:pt idx="30">
                  <c:v>62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69</c:v>
                </c:pt>
                <c:pt idx="38">
                  <c:v>70</c:v>
                </c:pt>
                <c:pt idx="39">
                  <c:v>71</c:v>
                </c:pt>
              </c:strCache>
            </c:strRef>
          </c:cat>
          <c:val>
            <c:numRef>
              <c:f>'03 Retirement Projector'!$G$28:$G$67</c:f>
              <c:numCache>
                <c:formatCode>\$#,##0;"($"#,##0\);\-</c:formatCode>
                <c:ptCount val="40"/>
                <c:pt idx="0">
                  <c:v>109580</c:v>
                </c:pt>
                <c:pt idx="1">
                  <c:v>136439.5</c:v>
                </c:pt>
                <c:pt idx="2">
                  <c:v>165754.832</c:v>
                </c:pt>
                <c:pt idx="3">
                  <c:v>197715.17425</c:v>
                </c:pt>
                <c:pt idx="4">
                  <c:v>232523.4655778</c:v>
                </c:pt>
                <c:pt idx="5">
                  <c:v>270397.384172455</c:v>
                </c:pt>
                <c:pt idx="6">
                  <c:v>311570.395348862</c:v>
                </c:pt>
                <c:pt idx="7">
                  <c:v>356292.873136148</c:v>
                </c:pt>
                <c:pt idx="8">
                  <c:v>404833.300871929</c:v>
                </c:pt>
                <c:pt idx="9">
                  <c:v>457479.556347703</c:v>
                </c:pt>
                <c:pt idx="10">
                  <c:v>514540.287439224</c:v>
                </c:pt>
                <c:pt idx="11">
                  <c:v>576346.384571566</c:v>
                </c:pt>
                <c:pt idx="12">
                  <c:v>643252.55681352</c:v>
                </c:pt>
                <c:pt idx="13">
                  <c:v>715639.018872069</c:v>
                </c:pt>
                <c:pt idx="14">
                  <c:v>793913.296767164</c:v>
                </c:pt>
                <c:pt idx="15">
                  <c:v>878512.160512138</c:v>
                </c:pt>
                <c:pt idx="16">
                  <c:v>969903.692708398</c:v>
                </c:pt>
                <c:pt idx="17">
                  <c:v>1068589.50258721</c:v>
                </c:pt>
                <c:pt idx="18">
                  <c:v>1175107.09569921</c:v>
                </c:pt>
                <c:pt idx="19">
                  <c:v>1290032.41016698</c:v>
                </c:pt>
                <c:pt idx="20">
                  <c:v>1413982.53118056</c:v>
                </c:pt>
                <c:pt idx="21">
                  <c:v>1547618.59623415</c:v>
                </c:pt>
                <c:pt idx="22">
                  <c:v>1691648.90447762</c:v>
                </c:pt>
                <c:pt idx="23">
                  <c:v>1846832.24449334</c:v>
                </c:pt>
                <c:pt idx="24">
                  <c:v>2013981.45581123</c:v>
                </c:pt>
                <c:pt idx="25">
                  <c:v>2193967.24054748</c:v>
                </c:pt>
                <c:pt idx="26">
                  <c:v>2387722.24270014</c:v>
                </c:pt>
                <c:pt idx="27">
                  <c:v>2596245.41386292</c:v>
                </c:pt>
                <c:pt idx="28">
                  <c:v>2713076.45748676</c:v>
                </c:pt>
                <c:pt idx="29">
                  <c:v>2835164.89807366</c:v>
                </c:pt>
                <c:pt idx="30">
                  <c:v>2962747.31848697</c:v>
                </c:pt>
                <c:pt idx="31">
                  <c:v>3096070.94781889</c:v>
                </c:pt>
                <c:pt idx="32">
                  <c:v>3235394.14047074</c:v>
                </c:pt>
                <c:pt idx="33">
                  <c:v>3380986.87679192</c:v>
                </c:pt>
                <c:pt idx="34">
                  <c:v>3533131.28624756</c:v>
                </c:pt>
                <c:pt idx="35">
                  <c:v>3692122.1941287</c:v>
                </c:pt>
                <c:pt idx="36">
                  <c:v>3858267.69286449</c:v>
                </c:pt>
                <c:pt idx="37">
                  <c:v>4031889.73904339</c:v>
                </c:pt>
                <c:pt idx="38">
                  <c:v>4213324.77730034</c:v>
                </c:pt>
                <c:pt idx="39">
                  <c:v>4402924.39227886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118043"/>
        <c:axId val="25739195"/>
      </c:lineChart>
      <c:catAx>
        <c:axId val="47118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39195"/>
        <c:crosses val="autoZero"/>
        <c:auto val="1"/>
        <c:lblAlgn val="ctr"/>
        <c:lblOffset val="100"/>
        <c:noMultiLvlLbl val="0"/>
      </c:catAx>
      <c:valAx>
        <c:axId val="25739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18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c9a227"/>
            </a:solidFill>
            <a:ln w="2484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'07 Net Worth Dashboard'!$C$27</c:f>
              <c:numCache>
                <c:formatCode>\$#,##0;"($"#,##0\);\-</c:formatCode>
                <c:ptCount val="1"/>
                <c:pt idx="0">
                  <c:v>-33200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'07 Net Worth Dashboard'!$D$27</c:f>
              <c:numCache>
                <c:formatCode>\$#,##0;"($"#,##0\);\-</c:formatCode>
                <c:ptCount val="1"/>
                <c:pt idx="0">
                  <c:v>-14500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'07 Net Worth Dashboard'!$E$27</c:f>
              <c:numCache>
                <c:formatCode>\$#,##0;"($"#,##0\);\-</c:formatCode>
                <c:ptCount val="1"/>
                <c:pt idx="0">
                  <c:v>-200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'07 Net Worth Dashboard'!$F$27</c:f>
              <c:numCache>
                <c:formatCode>\$#,##0;"($"#,##0\);\-</c:formatCode>
                <c:ptCount val="1"/>
                <c:pt idx="0">
                  <c:v>26900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023414"/>
        <c:axId val="54124558"/>
      </c:lineChart>
      <c:catAx>
        <c:axId val="51023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24558"/>
        <c:crosses val="autoZero"/>
        <c:auto val="1"/>
        <c:lblAlgn val="ctr"/>
        <c:lblOffset val="100"/>
        <c:noMultiLvlLbl val="0"/>
      </c:catAx>
      <c:valAx>
        <c:axId val="541245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23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 Number vs. Projected Net Worth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'08 FIRE Timeline Modeler'!F19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1b2a4a"/>
            </a:solidFill>
            <a:ln w="2844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FIRE Timeline Modeler'!$B$20:$B$49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'08 FIRE Timeline Modeler'!$F$20:$F$49</c:f>
              <c:numCache>
                <c:formatCode>\$#,##0;"($"#,##0\);\-</c:formatCode>
                <c:ptCount val="30"/>
                <c:pt idx="0">
                  <c:v>61680.07098</c:v>
                </c:pt>
                <c:pt idx="1">
                  <c:v>63407.18394744</c:v>
                </c:pt>
                <c:pt idx="2">
                  <c:v>65182.6560779683</c:v>
                </c:pt>
                <c:pt idx="3">
                  <c:v>67007.8414281514</c:v>
                </c:pt>
                <c:pt idx="4">
                  <c:v>68884.1319681397</c:v>
                </c:pt>
                <c:pt idx="5">
                  <c:v>70812.9586432476</c:v>
                </c:pt>
                <c:pt idx="6">
                  <c:v>72795.7924652585</c:v>
                </c:pt>
                <c:pt idx="7">
                  <c:v>74834.1456342858</c:v>
                </c:pt>
                <c:pt idx="8">
                  <c:v>76929.5726920458</c:v>
                </c:pt>
                <c:pt idx="9">
                  <c:v>79083.6717074231</c:v>
                </c:pt>
                <c:pt idx="10">
                  <c:v>81298.0854952309</c:v>
                </c:pt>
                <c:pt idx="11">
                  <c:v>83574.5028690974</c:v>
                </c:pt>
                <c:pt idx="12">
                  <c:v>85914.6599294321</c:v>
                </c:pt>
                <c:pt idx="13">
                  <c:v>88320.3413874562</c:v>
                </c:pt>
                <c:pt idx="14">
                  <c:v>90793.381926305</c:v>
                </c:pt>
                <c:pt idx="15">
                  <c:v>93335.6676002416</c:v>
                </c:pt>
                <c:pt idx="16">
                  <c:v>95949.1372730483</c:v>
                </c:pt>
                <c:pt idx="17">
                  <c:v>98635.7840966937</c:v>
                </c:pt>
                <c:pt idx="18">
                  <c:v>101397.657031401</c:v>
                </c:pt>
                <c:pt idx="19">
                  <c:v>104236.86240828</c:v>
                </c:pt>
                <c:pt idx="20">
                  <c:v>107155.565535712</c:v>
                </c:pt>
                <c:pt idx="21">
                  <c:v>110155.992350712</c:v>
                </c:pt>
                <c:pt idx="22">
                  <c:v>113240.431116532</c:v>
                </c:pt>
                <c:pt idx="23">
                  <c:v>116411.234167795</c:v>
                </c:pt>
                <c:pt idx="24">
                  <c:v>119670.819704493</c:v>
                </c:pt>
                <c:pt idx="25">
                  <c:v>123021.673636219</c:v>
                </c:pt>
                <c:pt idx="26">
                  <c:v>126466.351478033</c:v>
                </c:pt>
                <c:pt idx="27">
                  <c:v>130007.480299418</c:v>
                </c:pt>
                <c:pt idx="28">
                  <c:v>133647.760727802</c:v>
                </c:pt>
                <c:pt idx="29">
                  <c:v>137389.96900818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'08 FIRE Timeline Modeler'!G19</c:f>
              <c:strCache>
                <c:ptCount val="1"/>
                <c:pt idx="0">
                  <c:v>FI Number (infl. adj.)</c:v>
                </c:pt>
              </c:strCache>
            </c:strRef>
          </c:tx>
          <c:spPr>
            <a:solidFill>
              <a:srgbClr val="c9a227"/>
            </a:solidFill>
            <a:ln w="2844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FIRE Timeline Modeler'!$B$20:$B$49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'08 FIRE Timeline Modeler'!$G$20:$G$49</c:f>
              <c:numCache>
                <c:formatCode>\$#,##0;"($"#,##0\);\-</c:formatCode>
                <c:ptCount val="30"/>
                <c:pt idx="0">
                  <c:v>1125000</c:v>
                </c:pt>
                <c:pt idx="1">
                  <c:v>1170000</c:v>
                </c:pt>
                <c:pt idx="2">
                  <c:v>1216800</c:v>
                </c:pt>
                <c:pt idx="3">
                  <c:v>1265472</c:v>
                </c:pt>
                <c:pt idx="4">
                  <c:v>1316090.88</c:v>
                </c:pt>
                <c:pt idx="5">
                  <c:v>1368734.5152</c:v>
                </c:pt>
                <c:pt idx="6">
                  <c:v>1423483.895808</c:v>
                </c:pt>
                <c:pt idx="7">
                  <c:v>1480423.25164032</c:v>
                </c:pt>
                <c:pt idx="8">
                  <c:v>1539640.18170593</c:v>
                </c:pt>
                <c:pt idx="9">
                  <c:v>1601225.78897417</c:v>
                </c:pt>
                <c:pt idx="10">
                  <c:v>1665274.82053314</c:v>
                </c:pt>
                <c:pt idx="11">
                  <c:v>1731885.81335446</c:v>
                </c:pt>
                <c:pt idx="12">
                  <c:v>1801161.24588864</c:v>
                </c:pt>
                <c:pt idx="13">
                  <c:v>1873207.69572419</c:v>
                </c:pt>
                <c:pt idx="14">
                  <c:v>1948136.00355315</c:v>
                </c:pt>
                <c:pt idx="15">
                  <c:v>2026061.44369528</c:v>
                </c:pt>
                <c:pt idx="16">
                  <c:v>2107103.90144309</c:v>
                </c:pt>
                <c:pt idx="17">
                  <c:v>2191388.05750082</c:v>
                </c:pt>
                <c:pt idx="18">
                  <c:v>2279043.57980085</c:v>
                </c:pt>
                <c:pt idx="19">
                  <c:v>2370205.32299288</c:v>
                </c:pt>
                <c:pt idx="20">
                  <c:v>2465013.5359126</c:v>
                </c:pt>
                <c:pt idx="21">
                  <c:v>2563614.0773491</c:v>
                </c:pt>
                <c:pt idx="22">
                  <c:v>2666158.64044307</c:v>
                </c:pt>
                <c:pt idx="23">
                  <c:v>2772804.98606079</c:v>
                </c:pt>
                <c:pt idx="24">
                  <c:v>2883717.18550322</c:v>
                </c:pt>
                <c:pt idx="25">
                  <c:v>2999065.87292335</c:v>
                </c:pt>
                <c:pt idx="26">
                  <c:v>3119028.50784028</c:v>
                </c:pt>
                <c:pt idx="27">
                  <c:v>3243789.6481539</c:v>
                </c:pt>
                <c:pt idx="28">
                  <c:v>3373541.23408005</c:v>
                </c:pt>
                <c:pt idx="29">
                  <c:v>3508482.88344325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764212"/>
        <c:axId val="23416106"/>
      </c:lineChart>
      <c:catAx>
        <c:axId val="157642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16106"/>
        <c:crosses val="autoZero"/>
        <c:auto val="1"/>
        <c:lblAlgn val="ctr"/>
        <c:lblOffset val="100"/>
        <c:noMultiLvlLbl val="0"/>
      </c:catAx>
      <c:valAx>
        <c:axId val="23416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64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13-Week Ending Cash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c9a227"/>
            </a:solidFill>
            <a:ln w="2484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Forecast'!$C$27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Forecast'!$D$27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Forecast'!$E$27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Forecast'!$F$27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Forecast'!$G$27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Forecast'!$H$27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Forecast'!$I$27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Forecast'!$J$27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Forecast'!$K$27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Forecast'!$L$27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Forecast'!$M$27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Forecast'!$N$27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'09 Cash Flow Forecast'!$O$27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984586"/>
        <c:axId val="39245577"/>
      </c:lineChart>
      <c:catAx>
        <c:axId val="15984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45577"/>
        <c:crosses val="autoZero"/>
        <c:auto val="1"/>
        <c:lblAlgn val="ctr"/>
        <c:lblOffset val="100"/>
        <c:noMultiLvlLbl val="0"/>
      </c:catAx>
      <c:valAx>
        <c:axId val="39245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84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12-Month Cash Runway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'10 Runway Calculator'!G18</c:f>
              <c:strCache>
                <c:ptCount val="1"/>
                <c:pt idx="0">
                  <c:v>Ending Cash</c:v>
                </c:pt>
              </c:strCache>
            </c:strRef>
          </c:tx>
          <c:spPr>
            <a:solidFill>
              <a:srgbClr val="1b2a4a"/>
            </a:solidFill>
            <a:ln w="2844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Runway Calculator'!$B$19:$B$30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'10 Runway Calculator'!$G$19:$G$30</c:f>
              <c:numCache>
                <c:formatCode>\$#,##0;"($"#,##0\);\-</c:formatCode>
                <c:ptCount val="12"/>
                <c:pt idx="0">
                  <c:v>11699.97</c:v>
                </c:pt>
                <c:pt idx="1">
                  <c:v>4399.94</c:v>
                </c:pt>
                <c:pt idx="2">
                  <c:v>4399.94</c:v>
                </c:pt>
                <c:pt idx="3">
                  <c:v>4399.94</c:v>
                </c:pt>
                <c:pt idx="4">
                  <c:v>4399.94</c:v>
                </c:pt>
                <c:pt idx="5">
                  <c:v>4399.94</c:v>
                </c:pt>
                <c:pt idx="6">
                  <c:v>4399.94</c:v>
                </c:pt>
                <c:pt idx="7">
                  <c:v>4399.94</c:v>
                </c:pt>
                <c:pt idx="8">
                  <c:v>4399.94</c:v>
                </c:pt>
                <c:pt idx="9">
                  <c:v>4399.94</c:v>
                </c:pt>
                <c:pt idx="10">
                  <c:v>4399.94</c:v>
                </c:pt>
                <c:pt idx="11">
                  <c:v>4399.94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72794"/>
        <c:axId val="37495451"/>
      </c:lineChart>
      <c:catAx>
        <c:axId val="177279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95451"/>
        <c:crosses val="autoZero"/>
        <c:auto val="1"/>
        <c:lblAlgn val="ctr"/>
        <c:lblOffset val="100"/>
        <c:noMultiLvlLbl val="0"/>
      </c:catAx>
      <c:valAx>
        <c:axId val="37495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2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64</xdr:row>
      <xdr:rowOff>0</xdr:rowOff>
    </xdr:from>
    <xdr:to>
      <xdr:col>8</xdr:col>
      <xdr:colOff>589320</xdr:colOff>
      <xdr:row>79</xdr:row>
      <xdr:rowOff>22320</xdr:rowOff>
    </xdr:to>
    <xdr:graphicFrame>
      <xdr:nvGraphicFramePr>
        <xdr:cNvPr id="0" name="Chart 1"/>
        <xdr:cNvGraphicFramePr/>
      </xdr:nvGraphicFramePr>
      <xdr:xfrm>
        <a:off x="141120" y="125254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14</xdr:row>
      <xdr:rowOff>78120</xdr:rowOff>
    </xdr:from>
    <xdr:to>
      <xdr:col>12</xdr:col>
      <xdr:colOff>433080</xdr:colOff>
      <xdr:row>26</xdr:row>
      <xdr:rowOff>121320</xdr:rowOff>
    </xdr:to>
    <xdr:graphicFrame>
      <xdr:nvGraphicFramePr>
        <xdr:cNvPr id="1" name="Chart 1"/>
        <xdr:cNvGraphicFramePr/>
      </xdr:nvGraphicFramePr>
      <xdr:xfrm>
        <a:off x="6625440" y="3076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70</xdr:row>
      <xdr:rowOff>0</xdr:rowOff>
    </xdr:from>
    <xdr:to>
      <xdr:col>7</xdr:col>
      <xdr:colOff>448200</xdr:colOff>
      <xdr:row>87</xdr:row>
      <xdr:rowOff>1080</xdr:rowOff>
    </xdr:to>
    <xdr:graphicFrame>
      <xdr:nvGraphicFramePr>
        <xdr:cNvPr id="2" name="Chart 1"/>
        <xdr:cNvGraphicFramePr/>
      </xdr:nvGraphicFramePr>
      <xdr:xfrm>
        <a:off x="141120" y="141066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6</xdr:col>
      <xdr:colOff>715320</xdr:colOff>
      <xdr:row>47</xdr:row>
      <xdr:rowOff>1080</xdr:rowOff>
    </xdr:to>
    <xdr:graphicFrame>
      <xdr:nvGraphicFramePr>
        <xdr:cNvPr id="3" name="Chart 1"/>
        <xdr:cNvGraphicFramePr/>
      </xdr:nvGraphicFramePr>
      <xdr:xfrm>
        <a:off x="141120" y="60483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54</xdr:row>
      <xdr:rowOff>0</xdr:rowOff>
    </xdr:from>
    <xdr:to>
      <xdr:col>7</xdr:col>
      <xdr:colOff>166320</xdr:colOff>
      <xdr:row>71</xdr:row>
      <xdr:rowOff>1080</xdr:rowOff>
    </xdr:to>
    <xdr:graphicFrame>
      <xdr:nvGraphicFramePr>
        <xdr:cNvPr id="4" name="Chart 1"/>
        <xdr:cNvGraphicFramePr/>
      </xdr:nvGraphicFramePr>
      <xdr:xfrm>
        <a:off x="141120" y="11058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10</xdr:col>
      <xdr:colOff>604440</xdr:colOff>
      <xdr:row>46</xdr:row>
      <xdr:rowOff>1080</xdr:rowOff>
    </xdr:to>
    <xdr:graphicFrame>
      <xdr:nvGraphicFramePr>
        <xdr:cNvPr id="5" name="Chart 1"/>
        <xdr:cNvGraphicFramePr/>
      </xdr:nvGraphicFramePr>
      <xdr:xfrm>
        <a:off x="141120" y="58579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6</xdr:col>
      <xdr:colOff>715320</xdr:colOff>
      <xdr:row>50</xdr:row>
      <xdr:rowOff>1080</xdr:rowOff>
    </xdr:to>
    <xdr:graphicFrame>
      <xdr:nvGraphicFramePr>
        <xdr:cNvPr id="6" name="Chart 1"/>
        <xdr:cNvGraphicFramePr/>
      </xdr:nvGraphicFramePr>
      <xdr:xfrm>
        <a:off x="141120" y="70009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2"/>
    <col collapsed="false" customWidth="true" hidden="false" outlineLevel="0" max="8" min="8" style="0" width="3"/>
  </cols>
  <sheetData>
    <row r="3" customFormat="false" ht="33.85" hidden="false" customHeight="false" outlineLevel="0" collapsed="false">
      <c r="B3" s="1" t="s">
        <v>0</v>
      </c>
      <c r="C3" s="1"/>
      <c r="D3" s="1"/>
      <c r="E3" s="1"/>
      <c r="F3" s="1"/>
      <c r="G3" s="1"/>
    </row>
    <row r="4" customFormat="false" ht="19.7" hidden="false" customHeight="false" outlineLevel="0" collapsed="false">
      <c r="B4" s="2" t="s">
        <v>1</v>
      </c>
      <c r="C4" s="2"/>
      <c r="D4" s="2"/>
      <c r="E4" s="2"/>
      <c r="F4" s="2"/>
      <c r="G4" s="2"/>
    </row>
    <row r="6" customFormat="false" ht="25.5" hidden="false" customHeight="true" outlineLevel="0" collapsed="false">
      <c r="B6" s="3" t="s">
        <v>2</v>
      </c>
      <c r="C6" s="3"/>
      <c r="D6" s="3"/>
      <c r="E6" s="3"/>
      <c r="F6" s="3"/>
      <c r="G6" s="3"/>
    </row>
    <row r="8" customFormat="false" ht="15" hidden="false" customHeight="false" outlineLevel="0" collapsed="false">
      <c r="B8" s="4" t="s">
        <v>3</v>
      </c>
      <c r="C8" s="4"/>
      <c r="D8" s="4"/>
      <c r="E8" s="4"/>
      <c r="F8" s="4"/>
      <c r="G8" s="4"/>
    </row>
    <row r="11" customFormat="false" ht="15" hidden="false" customHeight="false" outlineLevel="0" collapsed="false">
      <c r="B11" s="5" t="s">
        <v>4</v>
      </c>
      <c r="C11" s="5"/>
      <c r="D11" s="5"/>
      <c r="E11" s="5"/>
      <c r="F11" s="5"/>
      <c r="G11" s="5"/>
    </row>
    <row r="13" customFormat="false" ht="18" hidden="false" customHeight="true" outlineLevel="0" collapsed="false">
      <c r="B13" s="6" t="s">
        <v>5</v>
      </c>
      <c r="C13" s="6"/>
      <c r="D13" s="7" t="s">
        <v>6</v>
      </c>
      <c r="E13" s="7"/>
      <c r="F13" s="7"/>
      <c r="G13" s="7"/>
    </row>
    <row r="14" customFormat="false" ht="18" hidden="false" customHeight="true" outlineLevel="0" collapsed="false">
      <c r="B14" s="6" t="s">
        <v>7</v>
      </c>
      <c r="C14" s="6"/>
      <c r="D14" s="7" t="s">
        <v>8</v>
      </c>
      <c r="E14" s="7"/>
      <c r="F14" s="7"/>
      <c r="G14" s="7"/>
    </row>
    <row r="15" customFormat="false" ht="18" hidden="false" customHeight="true" outlineLevel="0" collapsed="false">
      <c r="B15" s="6" t="s">
        <v>9</v>
      </c>
      <c r="C15" s="6"/>
      <c r="D15" s="7" t="s">
        <v>10</v>
      </c>
      <c r="E15" s="7"/>
      <c r="F15" s="7"/>
      <c r="G15" s="7"/>
    </row>
    <row r="16" customFormat="false" ht="18" hidden="false" customHeight="true" outlineLevel="0" collapsed="false">
      <c r="B16" s="6" t="s">
        <v>11</v>
      </c>
      <c r="C16" s="6"/>
      <c r="D16" s="7" t="s">
        <v>12</v>
      </c>
      <c r="E16" s="7"/>
      <c r="F16" s="7"/>
      <c r="G16" s="7"/>
    </row>
    <row r="17" customFormat="false" ht="18" hidden="false" customHeight="true" outlineLevel="0" collapsed="false">
      <c r="B17" s="6" t="s">
        <v>13</v>
      </c>
      <c r="C17" s="6"/>
      <c r="D17" s="7" t="s">
        <v>14</v>
      </c>
      <c r="E17" s="7"/>
      <c r="F17" s="7"/>
      <c r="G17" s="7"/>
    </row>
    <row r="18" customFormat="false" ht="18" hidden="false" customHeight="true" outlineLevel="0" collapsed="false">
      <c r="B18" s="6" t="s">
        <v>15</v>
      </c>
      <c r="C18" s="6"/>
      <c r="D18" s="7" t="s">
        <v>16</v>
      </c>
      <c r="E18" s="7"/>
      <c r="F18" s="7"/>
      <c r="G18" s="7"/>
    </row>
    <row r="19" customFormat="false" ht="18" hidden="false" customHeight="true" outlineLevel="0" collapsed="false">
      <c r="B19" s="6" t="s">
        <v>17</v>
      </c>
      <c r="C19" s="6"/>
      <c r="D19" s="7" t="s">
        <v>18</v>
      </c>
      <c r="E19" s="7"/>
      <c r="F19" s="7"/>
      <c r="G19" s="7"/>
    </row>
    <row r="20" customFormat="false" ht="18" hidden="false" customHeight="true" outlineLevel="0" collapsed="false">
      <c r="B20" s="6" t="s">
        <v>19</v>
      </c>
      <c r="C20" s="6"/>
      <c r="D20" s="7" t="s">
        <v>20</v>
      </c>
      <c r="E20" s="7"/>
      <c r="F20" s="7"/>
      <c r="G20" s="7"/>
    </row>
    <row r="21" customFormat="false" ht="18" hidden="false" customHeight="true" outlineLevel="0" collapsed="false">
      <c r="B21" s="6" t="s">
        <v>21</v>
      </c>
      <c r="C21" s="6"/>
      <c r="D21" s="7" t="s">
        <v>22</v>
      </c>
      <c r="E21" s="7"/>
      <c r="F21" s="7"/>
      <c r="G21" s="7"/>
    </row>
    <row r="22" customFormat="false" ht="18" hidden="false" customHeight="true" outlineLevel="0" collapsed="false">
      <c r="B22" s="6" t="s">
        <v>23</v>
      </c>
      <c r="C22" s="6"/>
      <c r="D22" s="7" t="s">
        <v>24</v>
      </c>
      <c r="E22" s="7"/>
      <c r="F22" s="7"/>
      <c r="G22" s="7"/>
    </row>
    <row r="23" customFormat="false" ht="18" hidden="false" customHeight="true" outlineLevel="0" collapsed="false">
      <c r="B23" s="6" t="s">
        <v>25</v>
      </c>
      <c r="C23" s="6"/>
      <c r="D23" s="7" t="s">
        <v>26</v>
      </c>
      <c r="E23" s="7"/>
      <c r="F23" s="7"/>
      <c r="G23" s="7"/>
    </row>
    <row r="24" customFormat="false" ht="18" hidden="false" customHeight="true" outlineLevel="0" collapsed="false">
      <c r="B24" s="6" t="s">
        <v>27</v>
      </c>
      <c r="C24" s="6"/>
      <c r="D24" s="7" t="s">
        <v>28</v>
      </c>
      <c r="E24" s="7"/>
      <c r="F24" s="7"/>
      <c r="G24" s="7"/>
    </row>
    <row r="27" customFormat="false" ht="19.5" hidden="false" customHeight="true" outlineLevel="0" collapsed="false">
      <c r="B27" s="8" t="s">
        <v>29</v>
      </c>
      <c r="C27" s="8"/>
      <c r="D27" s="8"/>
      <c r="E27" s="8"/>
      <c r="F27" s="8"/>
      <c r="G27" s="8"/>
    </row>
    <row r="28" customFormat="false" ht="25.5" hidden="false" customHeight="true" outlineLevel="0" collapsed="false">
      <c r="B28" s="9" t="s">
        <v>30</v>
      </c>
      <c r="C28" s="9"/>
      <c r="D28" s="9"/>
      <c r="E28" s="9"/>
      <c r="F28" s="9"/>
      <c r="G28" s="9"/>
    </row>
    <row r="29" customFormat="false" ht="25.5" hidden="false" customHeight="true" outlineLevel="0" collapsed="false">
      <c r="B29" s="9" t="s">
        <v>31</v>
      </c>
      <c r="C29" s="9"/>
      <c r="D29" s="9"/>
      <c r="E29" s="9"/>
      <c r="F29" s="9"/>
      <c r="G29" s="9"/>
    </row>
    <row r="30" customFormat="false" ht="25.5" hidden="false" customHeight="true" outlineLevel="0" collapsed="false">
      <c r="B30" s="9" t="s">
        <v>32</v>
      </c>
      <c r="C30" s="9"/>
      <c r="D30" s="9"/>
      <c r="E30" s="9"/>
      <c r="F30" s="9"/>
      <c r="G30" s="9"/>
    </row>
    <row r="31" customFormat="false" ht="25.5" hidden="false" customHeight="true" outlineLevel="0" collapsed="false">
      <c r="B31" s="9" t="s">
        <v>33</v>
      </c>
      <c r="C31" s="9"/>
      <c r="D31" s="9"/>
      <c r="E31" s="9"/>
      <c r="F31" s="9"/>
      <c r="G31" s="9"/>
    </row>
    <row r="32" customFormat="false" ht="25.5" hidden="false" customHeight="true" outlineLevel="0" collapsed="false">
      <c r="B32" s="9" t="s">
        <v>34</v>
      </c>
      <c r="C32" s="9"/>
      <c r="D32" s="9"/>
      <c r="E32" s="9"/>
      <c r="F32" s="9"/>
      <c r="G32" s="9"/>
    </row>
    <row r="34" customFormat="false" ht="15" hidden="false" customHeight="false" outlineLevel="0" collapsed="false">
      <c r="B34" s="10" t="s">
        <v>35</v>
      </c>
      <c r="C34" s="10"/>
      <c r="D34" s="10"/>
      <c r="E34" s="10"/>
      <c r="F34" s="10"/>
      <c r="G34" s="10"/>
    </row>
  </sheetData>
  <mergeCells count="36">
    <mergeCell ref="B3:G3"/>
    <mergeCell ref="B4:G4"/>
    <mergeCell ref="B6:G6"/>
    <mergeCell ref="B8:G8"/>
    <mergeCell ref="B11:G11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7:G27"/>
    <mergeCell ref="B28:G28"/>
    <mergeCell ref="B29:G29"/>
    <mergeCell ref="B30:G30"/>
    <mergeCell ref="B31:G31"/>
    <mergeCell ref="B32:G32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4" min="3" style="0" width="13"/>
    <col collapsed="false" customWidth="true" hidden="false" outlineLevel="0" max="15" min="15" style="0" width="14"/>
  </cols>
  <sheetData>
    <row r="2" customFormat="false" ht="27.75" hidden="false" customHeight="true" outlineLevel="0" collapsed="false">
      <c r="B2" s="11" t="s">
        <v>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B3" s="12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5" customFormat="false" ht="19.5" hidden="false" customHeight="true" outlineLevel="0" collapsed="false">
      <c r="B5" s="13" t="s">
        <v>37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false" outlineLevel="0" collapsed="false">
      <c r="B6" s="14" t="s">
        <v>38</v>
      </c>
      <c r="C6" s="15" t="s">
        <v>39</v>
      </c>
      <c r="D6" s="15" t="s">
        <v>40</v>
      </c>
      <c r="E6" s="15" t="s">
        <v>41</v>
      </c>
      <c r="F6" s="15" t="s">
        <v>42</v>
      </c>
      <c r="G6" s="15" t="s">
        <v>43</v>
      </c>
      <c r="H6" s="15" t="s">
        <v>44</v>
      </c>
      <c r="I6" s="15" t="s">
        <v>45</v>
      </c>
      <c r="J6" s="15" t="s">
        <v>46</v>
      </c>
      <c r="K6" s="15" t="s">
        <v>47</v>
      </c>
      <c r="L6" s="15" t="s">
        <v>48</v>
      </c>
      <c r="M6" s="15" t="s">
        <v>49</v>
      </c>
      <c r="N6" s="15" t="s">
        <v>50</v>
      </c>
      <c r="O6" s="15" t="s">
        <v>51</v>
      </c>
    </row>
    <row r="7" customFormat="false" ht="15" hidden="false" customHeight="false" outlineLevel="0" collapsed="false">
      <c r="B7" s="16" t="s">
        <v>52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8" t="n">
        <f aca="false">SUM(C7:N7)</f>
        <v>0</v>
      </c>
    </row>
    <row r="8" customFormat="false" ht="15" hidden="false" customHeight="false" outlineLevel="0" collapsed="false">
      <c r="B8" s="16" t="s">
        <v>53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8" t="n">
        <f aca="false">SUM(C8:N8)</f>
        <v>0</v>
      </c>
    </row>
    <row r="9" customFormat="false" ht="15" hidden="false" customHeight="false" outlineLevel="0" collapsed="false">
      <c r="B9" s="16" t="s">
        <v>54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8" t="n">
        <f aca="false">SUM(C9:N9)</f>
        <v>0</v>
      </c>
    </row>
    <row r="10" customFormat="false" ht="15" hidden="false" customHeight="false" outlineLevel="0" collapsed="false">
      <c r="B10" s="16" t="s">
        <v>55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8" t="n">
        <f aca="false">SUM(C10:N10)</f>
        <v>0</v>
      </c>
    </row>
    <row r="11" customFormat="false" ht="15" hidden="false" customHeight="false" outlineLevel="0" collapsed="false">
      <c r="B11" s="16" t="s">
        <v>56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8" t="n">
        <f aca="false">SUM(C11:N11)</f>
        <v>0</v>
      </c>
    </row>
    <row r="12" customFormat="false" ht="15" hidden="false" customHeight="false" outlineLevel="0" collapsed="false">
      <c r="B12" s="19" t="s">
        <v>57</v>
      </c>
      <c r="C12" s="20" t="n">
        <f aca="false">SUM(C7:C11)</f>
        <v>0</v>
      </c>
      <c r="D12" s="20" t="n">
        <f aca="false">SUM(D7:D11)</f>
        <v>0</v>
      </c>
      <c r="E12" s="20" t="n">
        <f aca="false">SUM(E7:E11)</f>
        <v>0</v>
      </c>
      <c r="F12" s="20" t="n">
        <f aca="false">SUM(F7:F11)</f>
        <v>0</v>
      </c>
      <c r="G12" s="20" t="n">
        <f aca="false">SUM(G7:G11)</f>
        <v>0</v>
      </c>
      <c r="H12" s="20" t="n">
        <f aca="false">SUM(H7:H11)</f>
        <v>0</v>
      </c>
      <c r="I12" s="20" t="n">
        <f aca="false">SUM(I7:I11)</f>
        <v>0</v>
      </c>
      <c r="J12" s="20" t="n">
        <f aca="false">SUM(J7:J11)</f>
        <v>0</v>
      </c>
      <c r="K12" s="20" t="n">
        <f aca="false">SUM(K7:K11)</f>
        <v>0</v>
      </c>
      <c r="L12" s="20" t="n">
        <f aca="false">SUM(L7:L11)</f>
        <v>0</v>
      </c>
      <c r="M12" s="20" t="n">
        <f aca="false">SUM(M7:M11)</f>
        <v>0</v>
      </c>
      <c r="N12" s="20" t="n">
        <f aca="false">SUM(N7:N11)</f>
        <v>0</v>
      </c>
      <c r="O12" s="20" t="n">
        <f aca="false">SUM(O7:O11)</f>
        <v>0</v>
      </c>
    </row>
    <row r="14" customFormat="false" ht="19.5" hidden="false" customHeight="true" outlineLevel="0" collapsed="false">
      <c r="B14" s="21" t="s">
        <v>58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customFormat="false" ht="15" hidden="false" customHeight="false" outlineLevel="0" collapsed="false">
      <c r="B15" s="22" t="s">
        <v>38</v>
      </c>
      <c r="C15" s="15" t="s">
        <v>39</v>
      </c>
      <c r="D15" s="15" t="s">
        <v>40</v>
      </c>
      <c r="E15" s="15" t="s">
        <v>41</v>
      </c>
      <c r="F15" s="15" t="s">
        <v>42</v>
      </c>
      <c r="G15" s="15" t="s">
        <v>43</v>
      </c>
      <c r="H15" s="15" t="s">
        <v>44</v>
      </c>
      <c r="I15" s="15" t="s">
        <v>45</v>
      </c>
      <c r="J15" s="15" t="s">
        <v>46</v>
      </c>
      <c r="K15" s="15" t="s">
        <v>47</v>
      </c>
      <c r="L15" s="15" t="s">
        <v>48</v>
      </c>
      <c r="M15" s="15" t="s">
        <v>49</v>
      </c>
      <c r="N15" s="15" t="s">
        <v>50</v>
      </c>
      <c r="O15" s="15" t="s">
        <v>51</v>
      </c>
    </row>
    <row r="16" customFormat="false" ht="15" hidden="false" customHeight="false" outlineLevel="0" collapsed="false">
      <c r="B16" s="23" t="s">
        <v>59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customFormat="false" ht="15" hidden="false" customHeight="false" outlineLevel="0" collapsed="false">
      <c r="B17" s="25" t="s">
        <v>60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26" t="n">
        <f aca="false">SUM(C17:N17)</f>
        <v>0</v>
      </c>
    </row>
    <row r="18" customFormat="false" ht="15" hidden="false" customHeight="false" outlineLevel="0" collapsed="false">
      <c r="B18" s="25" t="s">
        <v>61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26" t="n">
        <f aca="false">SUM(C18:N18)</f>
        <v>0</v>
      </c>
    </row>
    <row r="19" customFormat="false" ht="15" hidden="false" customHeight="false" outlineLevel="0" collapsed="false">
      <c r="B19" s="25" t="s">
        <v>62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26" t="n">
        <f aca="false">SUM(C19:N19)</f>
        <v>0</v>
      </c>
    </row>
    <row r="20" customFormat="false" ht="15" hidden="false" customHeight="false" outlineLevel="0" collapsed="false">
      <c r="B20" s="25" t="s">
        <v>63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26" t="n">
        <f aca="false">SUM(C20:N20)</f>
        <v>0</v>
      </c>
    </row>
    <row r="21" customFormat="false" ht="15" hidden="false" customHeight="false" outlineLevel="0" collapsed="false">
      <c r="B21" s="27" t="s">
        <v>64</v>
      </c>
      <c r="C21" s="20" t="n">
        <f aca="false">SUM(C17:C20)</f>
        <v>0</v>
      </c>
      <c r="D21" s="20" t="n">
        <f aca="false">SUM(D17:D20)</f>
        <v>0</v>
      </c>
      <c r="E21" s="20" t="n">
        <f aca="false">SUM(E17:E20)</f>
        <v>0</v>
      </c>
      <c r="F21" s="20" t="n">
        <f aca="false">SUM(F17:F20)</f>
        <v>0</v>
      </c>
      <c r="G21" s="20" t="n">
        <f aca="false">SUM(G17:G20)</f>
        <v>0</v>
      </c>
      <c r="H21" s="20" t="n">
        <f aca="false">SUM(H17:H20)</f>
        <v>0</v>
      </c>
      <c r="I21" s="20" t="n">
        <f aca="false">SUM(I17:I20)</f>
        <v>0</v>
      </c>
      <c r="J21" s="20" t="n">
        <f aca="false">SUM(J17:J20)</f>
        <v>0</v>
      </c>
      <c r="K21" s="20" t="n">
        <f aca="false">SUM(K17:K20)</f>
        <v>0</v>
      </c>
      <c r="L21" s="20" t="n">
        <f aca="false">SUM(L17:L20)</f>
        <v>0</v>
      </c>
      <c r="M21" s="20" t="n">
        <f aca="false">SUM(M17:M20)</f>
        <v>0</v>
      </c>
      <c r="N21" s="20" t="n">
        <f aca="false">SUM(N17:N20)</f>
        <v>0</v>
      </c>
      <c r="O21" s="20" t="n">
        <f aca="false">SUM(O17:O20)</f>
        <v>0</v>
      </c>
    </row>
    <row r="23" customFormat="false" ht="15" hidden="false" customHeight="false" outlineLevel="0" collapsed="false">
      <c r="B23" s="23" t="s">
        <v>65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customFormat="false" ht="15" hidden="false" customHeight="false" outlineLevel="0" collapsed="false">
      <c r="B24" s="25" t="s">
        <v>66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26" t="n">
        <f aca="false">SUM(C24:N24)</f>
        <v>0</v>
      </c>
    </row>
    <row r="25" customFormat="false" ht="15" hidden="false" customHeight="false" outlineLevel="0" collapsed="false">
      <c r="B25" s="25" t="s">
        <v>67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26" t="n">
        <f aca="false">SUM(C25:N25)</f>
        <v>0</v>
      </c>
    </row>
    <row r="26" customFormat="false" ht="15" hidden="false" customHeight="false" outlineLevel="0" collapsed="false">
      <c r="B26" s="25" t="s">
        <v>68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26" t="n">
        <f aca="false">SUM(C26:N26)</f>
        <v>0</v>
      </c>
    </row>
    <row r="27" customFormat="false" ht="15" hidden="false" customHeight="false" outlineLevel="0" collapsed="false">
      <c r="B27" s="25" t="s">
        <v>69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26" t="n">
        <f aca="false">SUM(C27:N27)</f>
        <v>0</v>
      </c>
    </row>
    <row r="28" customFormat="false" ht="15" hidden="false" customHeight="false" outlineLevel="0" collapsed="false">
      <c r="B28" s="27" t="s">
        <v>70</v>
      </c>
      <c r="C28" s="20" t="n">
        <f aca="false">SUM(C24:C27)</f>
        <v>0</v>
      </c>
      <c r="D28" s="20" t="n">
        <f aca="false">SUM(D24:D27)</f>
        <v>0</v>
      </c>
      <c r="E28" s="20" t="n">
        <f aca="false">SUM(E24:E27)</f>
        <v>0</v>
      </c>
      <c r="F28" s="20" t="n">
        <f aca="false">SUM(F24:F27)</f>
        <v>0</v>
      </c>
      <c r="G28" s="20" t="n">
        <f aca="false">SUM(G24:G27)</f>
        <v>0</v>
      </c>
      <c r="H28" s="20" t="n">
        <f aca="false">SUM(H24:H27)</f>
        <v>0</v>
      </c>
      <c r="I28" s="20" t="n">
        <f aca="false">SUM(I24:I27)</f>
        <v>0</v>
      </c>
      <c r="J28" s="20" t="n">
        <f aca="false">SUM(J24:J27)</f>
        <v>0</v>
      </c>
      <c r="K28" s="20" t="n">
        <f aca="false">SUM(K24:K27)</f>
        <v>0</v>
      </c>
      <c r="L28" s="20" t="n">
        <f aca="false">SUM(L24:L27)</f>
        <v>0</v>
      </c>
      <c r="M28" s="20" t="n">
        <f aca="false">SUM(M24:M27)</f>
        <v>0</v>
      </c>
      <c r="N28" s="20" t="n">
        <f aca="false">SUM(N24:N27)</f>
        <v>0</v>
      </c>
      <c r="O28" s="20" t="n">
        <f aca="false">SUM(O24:O27)</f>
        <v>0</v>
      </c>
    </row>
    <row r="30" customFormat="false" ht="15" hidden="false" customHeight="false" outlineLevel="0" collapsed="false">
      <c r="B30" s="23" t="s">
        <v>71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customFormat="false" ht="15" hidden="false" customHeight="false" outlineLevel="0" collapsed="false">
      <c r="B31" s="25" t="s">
        <v>72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26" t="n">
        <f aca="false">SUM(C31:N31)</f>
        <v>0</v>
      </c>
    </row>
    <row r="32" customFormat="false" ht="15" hidden="false" customHeight="false" outlineLevel="0" collapsed="false">
      <c r="B32" s="25" t="s">
        <v>73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26" t="n">
        <f aca="false">SUM(C32:N32)</f>
        <v>0</v>
      </c>
    </row>
    <row r="33" customFormat="false" ht="15" hidden="false" customHeight="false" outlineLevel="0" collapsed="false">
      <c r="B33" s="25" t="s">
        <v>74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26" t="n">
        <f aca="false">SUM(C33:N33)</f>
        <v>0</v>
      </c>
    </row>
    <row r="34" customFormat="false" ht="15" hidden="false" customHeight="false" outlineLevel="0" collapsed="false">
      <c r="B34" s="25" t="s">
        <v>75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26" t="n">
        <f aca="false">SUM(C34:N34)</f>
        <v>0</v>
      </c>
    </row>
    <row r="35" customFormat="false" ht="15" hidden="false" customHeight="false" outlineLevel="0" collapsed="false">
      <c r="B35" s="27" t="s">
        <v>76</v>
      </c>
      <c r="C35" s="20" t="n">
        <f aca="false">SUM(C31:C34)</f>
        <v>0</v>
      </c>
      <c r="D35" s="20" t="n">
        <f aca="false">SUM(D31:D34)</f>
        <v>0</v>
      </c>
      <c r="E35" s="20" t="n">
        <f aca="false">SUM(E31:E34)</f>
        <v>0</v>
      </c>
      <c r="F35" s="20" t="n">
        <f aca="false">SUM(F31:F34)</f>
        <v>0</v>
      </c>
      <c r="G35" s="20" t="n">
        <f aca="false">SUM(G31:G34)</f>
        <v>0</v>
      </c>
      <c r="H35" s="20" t="n">
        <f aca="false">SUM(H31:H34)</f>
        <v>0</v>
      </c>
      <c r="I35" s="20" t="n">
        <f aca="false">SUM(I31:I34)</f>
        <v>0</v>
      </c>
      <c r="J35" s="20" t="n">
        <f aca="false">SUM(J31:J34)</f>
        <v>0</v>
      </c>
      <c r="K35" s="20" t="n">
        <f aca="false">SUM(K31:K34)</f>
        <v>0</v>
      </c>
      <c r="L35" s="20" t="n">
        <f aca="false">SUM(L31:L34)</f>
        <v>0</v>
      </c>
      <c r="M35" s="20" t="n">
        <f aca="false">SUM(M31:M34)</f>
        <v>0</v>
      </c>
      <c r="N35" s="20" t="n">
        <f aca="false">SUM(N31:N34)</f>
        <v>0</v>
      </c>
      <c r="O35" s="20" t="n">
        <f aca="false">SUM(O31:O34)</f>
        <v>0</v>
      </c>
    </row>
    <row r="37" customFormat="false" ht="15" hidden="false" customHeight="false" outlineLevel="0" collapsed="false">
      <c r="B37" s="23" t="s">
        <v>77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customFormat="false" ht="15" hidden="false" customHeight="false" outlineLevel="0" collapsed="false">
      <c r="B38" s="25" t="s">
        <v>78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26" t="n">
        <f aca="false">SUM(C38:N38)</f>
        <v>0</v>
      </c>
    </row>
    <row r="39" customFormat="false" ht="15" hidden="false" customHeight="false" outlineLevel="0" collapsed="false">
      <c r="B39" s="25" t="s">
        <v>79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26" t="n">
        <f aca="false">SUM(C39:N39)</f>
        <v>0</v>
      </c>
    </row>
    <row r="40" customFormat="false" ht="15" hidden="false" customHeight="false" outlineLevel="0" collapsed="false">
      <c r="B40" s="25" t="s">
        <v>80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26" t="n">
        <f aca="false">SUM(C40:N40)</f>
        <v>0</v>
      </c>
    </row>
    <row r="41" customFormat="false" ht="15" hidden="false" customHeight="false" outlineLevel="0" collapsed="false">
      <c r="B41" s="27" t="s">
        <v>81</v>
      </c>
      <c r="C41" s="20" t="n">
        <f aca="false">SUM(C38:C40)</f>
        <v>0</v>
      </c>
      <c r="D41" s="20" t="n">
        <f aca="false">SUM(D38:D40)</f>
        <v>0</v>
      </c>
      <c r="E41" s="20" t="n">
        <f aca="false">SUM(E38:E40)</f>
        <v>0</v>
      </c>
      <c r="F41" s="20" t="n">
        <f aca="false">SUM(F38:F40)</f>
        <v>0</v>
      </c>
      <c r="G41" s="20" t="n">
        <f aca="false">SUM(G38:G40)</f>
        <v>0</v>
      </c>
      <c r="H41" s="20" t="n">
        <f aca="false">SUM(H38:H40)</f>
        <v>0</v>
      </c>
      <c r="I41" s="20" t="n">
        <f aca="false">SUM(I38:I40)</f>
        <v>0</v>
      </c>
      <c r="J41" s="20" t="n">
        <f aca="false">SUM(J38:J40)</f>
        <v>0</v>
      </c>
      <c r="K41" s="20" t="n">
        <f aca="false">SUM(K38:K40)</f>
        <v>0</v>
      </c>
      <c r="L41" s="20" t="n">
        <f aca="false">SUM(L38:L40)</f>
        <v>0</v>
      </c>
      <c r="M41" s="20" t="n">
        <f aca="false">SUM(M38:M40)</f>
        <v>0</v>
      </c>
      <c r="N41" s="20" t="n">
        <f aca="false">SUM(N38:N40)</f>
        <v>0</v>
      </c>
      <c r="O41" s="20" t="n">
        <f aca="false">SUM(O38:O40)</f>
        <v>0</v>
      </c>
    </row>
    <row r="43" customFormat="false" ht="15" hidden="false" customHeight="false" outlineLevel="0" collapsed="false">
      <c r="B43" s="23" t="s">
        <v>82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customFormat="false" ht="15" hidden="false" customHeight="false" outlineLevel="0" collapsed="false">
      <c r="B44" s="25" t="s">
        <v>83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26" t="n">
        <f aca="false">SUM(C44:N44)</f>
        <v>0</v>
      </c>
    </row>
    <row r="45" customFormat="false" ht="15" hidden="false" customHeight="false" outlineLevel="0" collapsed="false">
      <c r="B45" s="25" t="s">
        <v>84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26" t="n">
        <f aca="false">SUM(C45:N45)</f>
        <v>0</v>
      </c>
    </row>
    <row r="46" customFormat="false" ht="15" hidden="false" customHeight="false" outlineLevel="0" collapsed="false">
      <c r="B46" s="25" t="s">
        <v>85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26" t="n">
        <f aca="false">SUM(C46:N46)</f>
        <v>0</v>
      </c>
    </row>
    <row r="47" customFormat="false" ht="15" hidden="false" customHeight="false" outlineLevel="0" collapsed="false">
      <c r="B47" s="25" t="s">
        <v>86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26" t="n">
        <f aca="false">SUM(C47:N47)</f>
        <v>0</v>
      </c>
    </row>
    <row r="48" customFormat="false" ht="15" hidden="false" customHeight="false" outlineLevel="0" collapsed="false">
      <c r="B48" s="25" t="s">
        <v>87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26" t="n">
        <f aca="false">SUM(C48:N48)</f>
        <v>0</v>
      </c>
    </row>
    <row r="49" customFormat="false" ht="15" hidden="false" customHeight="false" outlineLevel="0" collapsed="false">
      <c r="B49" s="27" t="s">
        <v>88</v>
      </c>
      <c r="C49" s="20" t="n">
        <f aca="false">SUM(C44:C48)</f>
        <v>0</v>
      </c>
      <c r="D49" s="20" t="n">
        <f aca="false">SUM(D44:D48)</f>
        <v>0</v>
      </c>
      <c r="E49" s="20" t="n">
        <f aca="false">SUM(E44:E48)</f>
        <v>0</v>
      </c>
      <c r="F49" s="20" t="n">
        <f aca="false">SUM(F44:F48)</f>
        <v>0</v>
      </c>
      <c r="G49" s="20" t="n">
        <f aca="false">SUM(G44:G48)</f>
        <v>0</v>
      </c>
      <c r="H49" s="20" t="n">
        <f aca="false">SUM(H44:H48)</f>
        <v>0</v>
      </c>
      <c r="I49" s="20" t="n">
        <f aca="false">SUM(I44:I48)</f>
        <v>0</v>
      </c>
      <c r="J49" s="20" t="n">
        <f aca="false">SUM(J44:J48)</f>
        <v>0</v>
      </c>
      <c r="K49" s="20" t="n">
        <f aca="false">SUM(K44:K48)</f>
        <v>0</v>
      </c>
      <c r="L49" s="20" t="n">
        <f aca="false">SUM(L44:L48)</f>
        <v>0</v>
      </c>
      <c r="M49" s="20" t="n">
        <f aca="false">SUM(M44:M48)</f>
        <v>0</v>
      </c>
      <c r="N49" s="20" t="n">
        <f aca="false">SUM(N44:N48)</f>
        <v>0</v>
      </c>
      <c r="O49" s="20" t="n">
        <f aca="false">SUM(O44:O48)</f>
        <v>0</v>
      </c>
    </row>
    <row r="51" customFormat="false" ht="15" hidden="false" customHeight="false" outlineLevel="0" collapsed="false">
      <c r="B51" s="23" t="s">
        <v>89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customFormat="false" ht="15" hidden="false" customHeight="false" outlineLevel="0" collapsed="false">
      <c r="B52" s="25" t="s">
        <v>90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26" t="n">
        <f aca="false">SUM(C52:N52)</f>
        <v>0</v>
      </c>
    </row>
    <row r="53" customFormat="false" ht="15" hidden="false" customHeight="false" outlineLevel="0" collapsed="false">
      <c r="B53" s="25" t="s">
        <v>91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26" t="n">
        <f aca="false">SUM(C53:N53)</f>
        <v>0</v>
      </c>
    </row>
    <row r="54" customFormat="false" ht="15" hidden="false" customHeight="false" outlineLevel="0" collapsed="false">
      <c r="B54" s="25" t="s">
        <v>92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26" t="n">
        <f aca="false">SUM(C54:N54)</f>
        <v>0</v>
      </c>
    </row>
    <row r="55" customFormat="false" ht="15" hidden="false" customHeight="false" outlineLevel="0" collapsed="false">
      <c r="B55" s="25" t="s">
        <v>93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26" t="n">
        <f aca="false">SUM(C55:N55)</f>
        <v>0</v>
      </c>
    </row>
    <row r="56" customFormat="false" ht="15" hidden="false" customHeight="false" outlineLevel="0" collapsed="false">
      <c r="B56" s="27" t="s">
        <v>94</v>
      </c>
      <c r="C56" s="20" t="n">
        <f aca="false">SUM(C52:C55)</f>
        <v>0</v>
      </c>
      <c r="D56" s="20" t="n">
        <f aca="false">SUM(D52:D55)</f>
        <v>0</v>
      </c>
      <c r="E56" s="20" t="n">
        <f aca="false">SUM(E52:E55)</f>
        <v>0</v>
      </c>
      <c r="F56" s="20" t="n">
        <f aca="false">SUM(F52:F55)</f>
        <v>0</v>
      </c>
      <c r="G56" s="20" t="n">
        <f aca="false">SUM(G52:G55)</f>
        <v>0</v>
      </c>
      <c r="H56" s="20" t="n">
        <f aca="false">SUM(H52:H55)</f>
        <v>0</v>
      </c>
      <c r="I56" s="20" t="n">
        <f aca="false">SUM(I52:I55)</f>
        <v>0</v>
      </c>
      <c r="J56" s="20" t="n">
        <f aca="false">SUM(J52:J55)</f>
        <v>0</v>
      </c>
      <c r="K56" s="20" t="n">
        <f aca="false">SUM(K52:K55)</f>
        <v>0</v>
      </c>
      <c r="L56" s="20" t="n">
        <f aca="false">SUM(L52:L55)</f>
        <v>0</v>
      </c>
      <c r="M56" s="20" t="n">
        <f aca="false">SUM(M52:M55)</f>
        <v>0</v>
      </c>
      <c r="N56" s="20" t="n">
        <f aca="false">SUM(N52:N55)</f>
        <v>0</v>
      </c>
      <c r="O56" s="20" t="n">
        <f aca="false">SUM(O52:O55)</f>
        <v>0</v>
      </c>
    </row>
    <row r="58" customFormat="false" ht="15" hidden="false" customHeight="false" outlineLevel="0" collapsed="false">
      <c r="B58" s="28" t="s">
        <v>95</v>
      </c>
      <c r="C58" s="29" t="n">
        <f aca="false">C21+C28+C35+C41+C49+C56</f>
        <v>0</v>
      </c>
      <c r="D58" s="29" t="n">
        <f aca="false">D21+D28+D35+D41+D49+D56</f>
        <v>0</v>
      </c>
      <c r="E58" s="29" t="n">
        <f aca="false">E21+E28+E35+E41+E49+E56</f>
        <v>0</v>
      </c>
      <c r="F58" s="29" t="n">
        <f aca="false">F21+F28+F35+F41+F49+F56</f>
        <v>0</v>
      </c>
      <c r="G58" s="29" t="n">
        <f aca="false">G21+G28+G35+G41+G49+G56</f>
        <v>0</v>
      </c>
      <c r="H58" s="29" t="n">
        <f aca="false">H21+H28+H35+H41+H49+H56</f>
        <v>0</v>
      </c>
      <c r="I58" s="29" t="n">
        <f aca="false">I21+I28+I35+I41+I49+I56</f>
        <v>0</v>
      </c>
      <c r="J58" s="29" t="n">
        <f aca="false">J21+J28+J35+J41+J49+J56</f>
        <v>0</v>
      </c>
      <c r="K58" s="29" t="n">
        <f aca="false">K21+K28+K35+K41+K49+K56</f>
        <v>0</v>
      </c>
      <c r="L58" s="29" t="n">
        <f aca="false">L21+L28+L35+L41+L49+L56</f>
        <v>0</v>
      </c>
      <c r="M58" s="29" t="n">
        <f aca="false">M21+M28+M35+M41+M49+M56</f>
        <v>0</v>
      </c>
      <c r="N58" s="29" t="n">
        <f aca="false">N21+N28+N35+N41+N49+N56</f>
        <v>0</v>
      </c>
      <c r="O58" s="29" t="n">
        <f aca="false">SUM(O21,O28,O35,O41,O49,O56)</f>
        <v>0</v>
      </c>
    </row>
    <row r="60" customFormat="false" ht="19.5" hidden="false" customHeight="true" outlineLevel="0" collapsed="false">
      <c r="B60" s="8" t="s">
        <v>96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B61" s="22" t="s">
        <v>97</v>
      </c>
      <c r="C61" s="18" t="n">
        <f aca="false">C12-C58</f>
        <v>0</v>
      </c>
      <c r="D61" s="18" t="n">
        <f aca="false">D12-D58</f>
        <v>0</v>
      </c>
      <c r="E61" s="18" t="n">
        <f aca="false">E12-E58</f>
        <v>0</v>
      </c>
      <c r="F61" s="18" t="n">
        <f aca="false">F12-F58</f>
        <v>0</v>
      </c>
      <c r="G61" s="18" t="n">
        <f aca="false">G12-G58</f>
        <v>0</v>
      </c>
      <c r="H61" s="18" t="n">
        <f aca="false">H12-H58</f>
        <v>0</v>
      </c>
      <c r="I61" s="18" t="n">
        <f aca="false">I12-I58</f>
        <v>0</v>
      </c>
      <c r="J61" s="18" t="n">
        <f aca="false">J12-J58</f>
        <v>0</v>
      </c>
      <c r="K61" s="18" t="n">
        <f aca="false">K12-K58</f>
        <v>0</v>
      </c>
      <c r="L61" s="18" t="n">
        <f aca="false">L12-L58</f>
        <v>0</v>
      </c>
      <c r="M61" s="18" t="n">
        <f aca="false">M12-M58</f>
        <v>0</v>
      </c>
      <c r="N61" s="18" t="n">
        <f aca="false">N12-N58</f>
        <v>0</v>
      </c>
      <c r="O61" s="18" t="n">
        <f aca="false">SUM(C61:N61)</f>
        <v>0</v>
      </c>
    </row>
    <row r="62" customFormat="false" ht="15" hidden="false" customHeight="false" outlineLevel="0" collapsed="false">
      <c r="B62" s="30" t="s">
        <v>98</v>
      </c>
      <c r="C62" s="31" t="n">
        <f aca="false">IFERROR(C61/C12,0)</f>
        <v>0</v>
      </c>
      <c r="D62" s="31" t="n">
        <f aca="false">IFERROR(D61/D12,0)</f>
        <v>0</v>
      </c>
      <c r="E62" s="31" t="n">
        <f aca="false">IFERROR(E61/E12,0)</f>
        <v>0</v>
      </c>
      <c r="F62" s="31" t="n">
        <f aca="false">IFERROR(F61/F12,0)</f>
        <v>0</v>
      </c>
      <c r="G62" s="31" t="n">
        <f aca="false">IFERROR(G61/G12,0)</f>
        <v>0</v>
      </c>
      <c r="H62" s="31" t="n">
        <f aca="false">IFERROR(H61/H12,0)</f>
        <v>0</v>
      </c>
      <c r="I62" s="31" t="n">
        <f aca="false">IFERROR(I61/I12,0)</f>
        <v>0</v>
      </c>
      <c r="J62" s="31" t="n">
        <f aca="false">IFERROR(J61/J12,0)</f>
        <v>0</v>
      </c>
      <c r="K62" s="31" t="n">
        <f aca="false">IFERROR(K61/K12,0)</f>
        <v>0</v>
      </c>
      <c r="L62" s="31" t="n">
        <f aca="false">IFERROR(L61/L12,0)</f>
        <v>0</v>
      </c>
      <c r="M62" s="31" t="n">
        <f aca="false">IFERROR(M61/M12,0)</f>
        <v>0</v>
      </c>
      <c r="N62" s="31" t="n">
        <f aca="false">IFERROR(N61/N12,0)</f>
        <v>0</v>
      </c>
      <c r="O62" s="31" t="n">
        <f aca="false">IFERROR(O61/O12,0)</f>
        <v>0</v>
      </c>
    </row>
  </sheetData>
  <mergeCells count="5">
    <mergeCell ref="B2:O2"/>
    <mergeCell ref="B3:O3"/>
    <mergeCell ref="B5:O5"/>
    <mergeCell ref="B14:O14"/>
    <mergeCell ref="B60:O60"/>
  </mergeCells>
  <conditionalFormatting sqref="C61:N6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10" min="7" style="0" width="16"/>
  </cols>
  <sheetData>
    <row r="2" customFormat="false" ht="27.75" hidden="false" customHeight="true" outlineLevel="0" collapsed="false">
      <c r="B2" s="11" t="s">
        <v>99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B3" s="12" t="s">
        <v>100</v>
      </c>
      <c r="C3" s="12"/>
      <c r="D3" s="12"/>
      <c r="E3" s="12"/>
      <c r="F3" s="12"/>
      <c r="G3" s="12"/>
      <c r="H3" s="12"/>
      <c r="I3" s="12"/>
      <c r="J3" s="12"/>
    </row>
    <row r="5" customFormat="false" ht="19.5" hidden="false" customHeight="true" outlineLevel="0" collapsed="false">
      <c r="B5" s="13" t="s">
        <v>101</v>
      </c>
      <c r="C5" s="13"/>
      <c r="D5" s="13"/>
      <c r="E5" s="13"/>
      <c r="F5" s="13"/>
      <c r="G5" s="13"/>
      <c r="H5" s="13"/>
      <c r="I5" s="13"/>
      <c r="J5" s="13"/>
    </row>
    <row r="6" customFormat="false" ht="23.85" hidden="false" customHeight="false" outlineLevel="0" collapsed="false">
      <c r="B6" s="15" t="s">
        <v>102</v>
      </c>
      <c r="C6" s="15" t="s">
        <v>103</v>
      </c>
      <c r="D6" s="15" t="s">
        <v>104</v>
      </c>
      <c r="E6" s="15" t="s">
        <v>105</v>
      </c>
      <c r="F6" s="15" t="s">
        <v>106</v>
      </c>
      <c r="G6" s="15" t="s">
        <v>107</v>
      </c>
      <c r="H6" s="15" t="s">
        <v>108</v>
      </c>
      <c r="I6" s="15" t="s">
        <v>109</v>
      </c>
    </row>
    <row r="7" customFormat="false" ht="15" hidden="false" customHeight="false" outlineLevel="0" collapsed="false">
      <c r="B7" s="32" t="s">
        <v>110</v>
      </c>
      <c r="C7" s="17" t="n">
        <v>8500</v>
      </c>
      <c r="D7" s="33" t="n">
        <v>0.2399</v>
      </c>
      <c r="E7" s="17" t="n">
        <v>215</v>
      </c>
      <c r="F7" s="34" t="n">
        <f aca="false">RANK(D7,$D$7:$D$11,0)</f>
        <v>1</v>
      </c>
      <c r="G7" s="34" t="n">
        <f aca="false">RANK(C7,$C$7:$C$11,1)</f>
        <v>3</v>
      </c>
      <c r="H7" s="34" t="n">
        <f aca="false">IFERROR(-LN(1-(($D7/12)*$C7)/$E7)/LN(1+($D7/12)),"N/A")</f>
        <v>78.9313228413825</v>
      </c>
      <c r="I7" s="26" t="n">
        <f aca="false">IFERROR((H7*E7)-C7,"N/A")</f>
        <v>8470.23441089723</v>
      </c>
    </row>
    <row r="8" customFormat="false" ht="15" hidden="false" customHeight="false" outlineLevel="0" collapsed="false">
      <c r="B8" s="32" t="s">
        <v>111</v>
      </c>
      <c r="C8" s="17" t="n">
        <v>3200</v>
      </c>
      <c r="D8" s="33" t="n">
        <v>0.1999</v>
      </c>
      <c r="E8" s="17" t="n">
        <v>95</v>
      </c>
      <c r="F8" s="34" t="n">
        <f aca="false">RANK(D8,$D$7:$D$11,0)</f>
        <v>2</v>
      </c>
      <c r="G8" s="34" t="n">
        <f aca="false">RANK(C8,$C$7:$C$11,1)</f>
        <v>1</v>
      </c>
      <c r="H8" s="34" t="n">
        <f aca="false">IFERROR(-LN(1-(($D8/12)*$C8)/$E8)/LN(1+($D8/12)),"N/A")</f>
        <v>49.8474913084599</v>
      </c>
      <c r="I8" s="26" t="n">
        <f aca="false">IFERROR((H8*E8)-C8,"N/A")</f>
        <v>1535.51167430369</v>
      </c>
    </row>
    <row r="9" customFormat="false" ht="15" hidden="false" customHeight="false" outlineLevel="0" collapsed="false">
      <c r="B9" s="32" t="s">
        <v>112</v>
      </c>
      <c r="C9" s="17" t="n">
        <v>14500</v>
      </c>
      <c r="D9" s="33" t="n">
        <v>0.0649</v>
      </c>
      <c r="E9" s="17" t="n">
        <v>320</v>
      </c>
      <c r="F9" s="34" t="n">
        <f aca="false">RANK(D9,$D$7:$D$11,0)</f>
        <v>4</v>
      </c>
      <c r="G9" s="34" t="n">
        <f aca="false">RANK(C9,$C$7:$C$11,1)</f>
        <v>4</v>
      </c>
      <c r="H9" s="34" t="n">
        <f aca="false">IFERROR(-LN(1-(($D9/12)*$C9)/$E9)/LN(1+($D9/12)),"N/A")</f>
        <v>52.1201761948081</v>
      </c>
      <c r="I9" s="26" t="n">
        <f aca="false">IFERROR((H9*E9)-C9,"N/A")</f>
        <v>2178.45638233859</v>
      </c>
    </row>
    <row r="10" customFormat="false" ht="15" hidden="false" customHeight="false" outlineLevel="0" collapsed="false">
      <c r="B10" s="32" t="s">
        <v>113</v>
      </c>
      <c r="C10" s="17" t="n">
        <v>22000</v>
      </c>
      <c r="D10" s="33" t="n">
        <v>0.055</v>
      </c>
      <c r="E10" s="17" t="n">
        <v>240</v>
      </c>
      <c r="F10" s="34" t="n">
        <f aca="false">RANK(D10,$D$7:$D$11,0)</f>
        <v>5</v>
      </c>
      <c r="G10" s="34" t="n">
        <f aca="false">RANK(C10,$C$7:$C$11,1)</f>
        <v>5</v>
      </c>
      <c r="H10" s="34" t="n">
        <f aca="false">IFERROR(-LN(1-(($D10/12)*$C10)/$E10)/LN(1+($D10/12)),"N/A")</f>
        <v>119.17409407395</v>
      </c>
      <c r="I10" s="26" t="n">
        <f aca="false">IFERROR((H10*E10)-C10,"N/A")</f>
        <v>6601.78257774808</v>
      </c>
    </row>
    <row r="11" customFormat="false" ht="15" hidden="false" customHeight="false" outlineLevel="0" collapsed="false">
      <c r="B11" s="32" t="s">
        <v>114</v>
      </c>
      <c r="C11" s="17" t="n">
        <v>5000</v>
      </c>
      <c r="D11" s="33" t="n">
        <v>0.11</v>
      </c>
      <c r="E11" s="17" t="n">
        <v>165</v>
      </c>
      <c r="F11" s="34" t="n">
        <f aca="false">RANK(D11,$D$7:$D$11,0)</f>
        <v>3</v>
      </c>
      <c r="G11" s="34" t="n">
        <f aca="false">RANK(C11,$C$7:$C$11,1)</f>
        <v>2</v>
      </c>
      <c r="H11" s="34" t="n">
        <f aca="false">IFERROR(-LN(1-(($D11/12)*$C11)/$E11)/LN(1+($D11/12)),"N/A")</f>
        <v>35.6630892484037</v>
      </c>
      <c r="I11" s="26" t="n">
        <f aca="false">IFERROR((H11*E11)-C11,"N/A")</f>
        <v>884.409725986609</v>
      </c>
    </row>
    <row r="12" customFormat="false" ht="15" hidden="false" customHeight="false" outlineLevel="0" collapsed="false">
      <c r="B12" s="19" t="s">
        <v>115</v>
      </c>
      <c r="C12" s="20" t="n">
        <f aca="false">SUM(C7:C11)</f>
        <v>53200</v>
      </c>
      <c r="D12" s="35" t="n">
        <f aca="false">SUMPRODUCT(C7:C11,D7:D11)/C12</f>
        <v>0.101125563909774</v>
      </c>
      <c r="E12" s="20" t="n">
        <f aca="false">SUM(E7:E11)</f>
        <v>1035</v>
      </c>
      <c r="F12" s="36"/>
      <c r="G12" s="36"/>
      <c r="H12" s="36"/>
      <c r="I12" s="36"/>
    </row>
    <row r="14" customFormat="false" ht="15" hidden="false" customHeight="true" outlineLevel="0" collapsed="false">
      <c r="B14" s="22" t="s">
        <v>116</v>
      </c>
      <c r="C14" s="17" t="n">
        <v>300</v>
      </c>
      <c r="D14" s="37" t="s">
        <v>117</v>
      </c>
      <c r="E14" s="37"/>
      <c r="F14" s="37"/>
      <c r="G14" s="37"/>
      <c r="H14" s="37"/>
      <c r="I14" s="37"/>
      <c r="J14" s="37"/>
    </row>
    <row r="16" customFormat="false" ht="19.5" hidden="false" customHeight="true" outlineLevel="0" collapsed="false">
      <c r="B16" s="21" t="s">
        <v>118</v>
      </c>
      <c r="C16" s="21"/>
      <c r="D16" s="21"/>
      <c r="E16" s="21"/>
      <c r="F16" s="21"/>
      <c r="G16" s="21"/>
      <c r="H16" s="21"/>
      <c r="I16" s="21"/>
      <c r="J16" s="21"/>
    </row>
    <row r="17" customFormat="false" ht="23.85" hidden="false" customHeight="false" outlineLevel="0" collapsed="false">
      <c r="B17" s="15" t="s">
        <v>119</v>
      </c>
      <c r="C17" s="15" t="s">
        <v>120</v>
      </c>
      <c r="D17" s="15" t="s">
        <v>121</v>
      </c>
      <c r="E17" s="15" t="s">
        <v>122</v>
      </c>
      <c r="F17" s="15" t="s">
        <v>123</v>
      </c>
    </row>
    <row r="18" customFormat="false" ht="15" hidden="false" customHeight="false" outlineLevel="0" collapsed="false">
      <c r="B18" s="22" t="s">
        <v>124</v>
      </c>
      <c r="C18" s="30" t="s">
        <v>125</v>
      </c>
      <c r="D18" s="34" t="n">
        <f aca="false">ROUND((MAX(H7:H11)*(SUM(E7:E11)/(SUM(E7:E11)+C14))),0)</f>
        <v>92</v>
      </c>
      <c r="E18" s="26" t="n">
        <f aca="false">SUM(I7:I11)*0.62</f>
        <v>12195.64475819</v>
      </c>
      <c r="F18" s="26" t="n">
        <f aca="false">SUM(I7:I11)-D18</f>
        <v>19578.3947712742</v>
      </c>
    </row>
    <row r="19" customFormat="false" ht="15" hidden="false" customHeight="false" outlineLevel="0" collapsed="false">
      <c r="B19" s="22" t="s">
        <v>126</v>
      </c>
      <c r="C19" s="30" t="s">
        <v>127</v>
      </c>
      <c r="D19" s="34" t="n">
        <f aca="false">ROUND((MAX(H7:H11)*(SUM(E7:E11)/(SUM(E7:E11)+C14))*1.04),0)</f>
        <v>96</v>
      </c>
      <c r="E19" s="26" t="n">
        <f aca="false">SUM(I7:I11)*0.68</f>
        <v>13375.8684444665</v>
      </c>
      <c r="F19" s="26" t="n">
        <f aca="false">SUM(I7:I11)-D19</f>
        <v>19574.3947712742</v>
      </c>
    </row>
    <row r="21" customFormat="false" ht="45" hidden="false" customHeight="true" outlineLevel="0" collapsed="false">
      <c r="B21" s="37" t="s">
        <v>128</v>
      </c>
      <c r="C21" s="37"/>
      <c r="D21" s="37"/>
      <c r="E21" s="37"/>
      <c r="F21" s="37"/>
      <c r="G21" s="37"/>
      <c r="H21" s="37"/>
      <c r="I21" s="37"/>
      <c r="J21" s="37"/>
    </row>
  </sheetData>
  <mergeCells count="6">
    <mergeCell ref="B2:J2"/>
    <mergeCell ref="B3:J3"/>
    <mergeCell ref="B5:J5"/>
    <mergeCell ref="D14:J14"/>
    <mergeCell ref="B16:J16"/>
    <mergeCell ref="B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6"/>
  </cols>
  <sheetData>
    <row r="2" customFormat="false" ht="27.75" hidden="false" customHeight="true" outlineLevel="0" collapsed="false">
      <c r="B2" s="11" t="s">
        <v>129</v>
      </c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B3" s="12" t="s">
        <v>10</v>
      </c>
      <c r="C3" s="12"/>
      <c r="D3" s="12"/>
      <c r="E3" s="12"/>
      <c r="F3" s="12"/>
      <c r="G3" s="12"/>
      <c r="H3" s="12"/>
      <c r="I3" s="12"/>
    </row>
    <row r="5" customFormat="false" ht="19.5" hidden="false" customHeight="true" outlineLevel="0" collapsed="false">
      <c r="B5" s="13" t="s">
        <v>130</v>
      </c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B6" s="16" t="s">
        <v>131</v>
      </c>
      <c r="C6" s="38" t="n">
        <v>32</v>
      </c>
    </row>
    <row r="7" customFormat="false" ht="15" hidden="false" customHeight="false" outlineLevel="0" collapsed="false">
      <c r="B7" s="16" t="s">
        <v>132</v>
      </c>
      <c r="C7" s="38" t="n">
        <v>60</v>
      </c>
    </row>
    <row r="8" customFormat="false" ht="15" hidden="false" customHeight="false" outlineLevel="0" collapsed="false">
      <c r="B8" s="16" t="s">
        <v>133</v>
      </c>
      <c r="C8" s="17" t="n">
        <v>85000</v>
      </c>
    </row>
    <row r="9" customFormat="false" ht="15" hidden="false" customHeight="false" outlineLevel="0" collapsed="false">
      <c r="B9" s="16" t="s">
        <v>134</v>
      </c>
      <c r="C9" s="17" t="n">
        <v>1500</v>
      </c>
    </row>
    <row r="10" customFormat="false" ht="15" hidden="false" customHeight="false" outlineLevel="0" collapsed="false">
      <c r="B10" s="16" t="s">
        <v>135</v>
      </c>
      <c r="C10" s="39" t="n">
        <v>0.03</v>
      </c>
    </row>
    <row r="11" customFormat="false" ht="15" hidden="false" customHeight="false" outlineLevel="0" collapsed="false">
      <c r="B11" s="16" t="s">
        <v>136</v>
      </c>
      <c r="C11" s="39" t="n">
        <v>0.07</v>
      </c>
    </row>
    <row r="12" customFormat="false" ht="15" hidden="false" customHeight="false" outlineLevel="0" collapsed="false">
      <c r="B12" s="16" t="s">
        <v>137</v>
      </c>
      <c r="C12" s="39" t="n">
        <v>0.045</v>
      </c>
    </row>
    <row r="13" customFormat="false" ht="15" hidden="false" customHeight="false" outlineLevel="0" collapsed="false">
      <c r="B13" s="16" t="s">
        <v>138</v>
      </c>
      <c r="C13" s="39" t="n">
        <v>0.028</v>
      </c>
    </row>
    <row r="14" customFormat="false" ht="15" hidden="false" customHeight="false" outlineLevel="0" collapsed="false">
      <c r="B14" s="16" t="s">
        <v>139</v>
      </c>
      <c r="C14" s="17" t="n">
        <v>90000</v>
      </c>
    </row>
    <row r="15" customFormat="false" ht="15" hidden="false" customHeight="false" outlineLevel="0" collapsed="false">
      <c r="B15" s="16" t="s">
        <v>140</v>
      </c>
      <c r="C15" s="38" t="n">
        <v>28</v>
      </c>
    </row>
    <row r="17" customFormat="false" ht="19.5" hidden="false" customHeight="true" outlineLevel="0" collapsed="false">
      <c r="B17" s="8" t="s">
        <v>141</v>
      </c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B18" s="40" t="s">
        <v>142</v>
      </c>
      <c r="C18" s="41" t="n">
        <f aca="false">C7-C6</f>
        <v>28</v>
      </c>
    </row>
    <row r="19" customFormat="false" ht="15" hidden="false" customHeight="false" outlineLevel="0" collapsed="false">
      <c r="B19" s="40" t="s">
        <v>143</v>
      </c>
      <c r="C19" s="18" t="n">
        <f aca="false">C14*(1+C13)^C18</f>
        <v>195006.783912507</v>
      </c>
    </row>
    <row r="20" customFormat="false" ht="15" hidden="false" customHeight="false" outlineLevel="0" collapsed="false">
      <c r="B20" s="40" t="s">
        <v>144</v>
      </c>
      <c r="C20" s="18" t="n">
        <f aca="false">C19/0.04</f>
        <v>4875169.59781267</v>
      </c>
    </row>
    <row r="21" customFormat="false" ht="15" hidden="false" customHeight="false" outlineLevel="0" collapsed="false">
      <c r="B21" s="40" t="s">
        <v>145</v>
      </c>
      <c r="C21" s="18" t="n">
        <f aca="false">C19*(1-(1+C12)^(-C15))/C12</f>
        <v>3069967.13322903</v>
      </c>
    </row>
    <row r="22" customFormat="false" ht="15" hidden="false" customHeight="false" outlineLevel="0" collapsed="false">
      <c r="B22" s="42" t="s">
        <v>146</v>
      </c>
      <c r="C22" s="18" t="n">
        <f aca="false">INDEX(G28:G67,MATCH($C$7,C28:C67,0))</f>
        <v>2713076.45748676</v>
      </c>
    </row>
    <row r="23" customFormat="false" ht="15" hidden="false" customHeight="false" outlineLevel="0" collapsed="false">
      <c r="B23" s="40" t="s">
        <v>147</v>
      </c>
      <c r="C23" s="18" t="n">
        <f aca="false">C22-C21</f>
        <v>-356890.675742277</v>
      </c>
    </row>
    <row r="26" customFormat="false" ht="19.5" hidden="false" customHeight="true" outlineLevel="0" collapsed="false">
      <c r="B26" s="21" t="s">
        <v>148</v>
      </c>
      <c r="C26" s="21"/>
      <c r="D26" s="21"/>
      <c r="E26" s="21"/>
      <c r="F26" s="21"/>
      <c r="G26" s="21"/>
      <c r="H26" s="21"/>
      <c r="I26" s="21"/>
    </row>
    <row r="27" customFormat="false" ht="15" hidden="false" customHeight="false" outlineLevel="0" collapsed="false">
      <c r="B27" s="15" t="s">
        <v>149</v>
      </c>
      <c r="C27" s="15" t="s">
        <v>150</v>
      </c>
      <c r="D27" s="15" t="s">
        <v>151</v>
      </c>
      <c r="E27" s="15" t="s">
        <v>152</v>
      </c>
      <c r="F27" s="15" t="s">
        <v>153</v>
      </c>
      <c r="G27" s="15" t="s">
        <v>154</v>
      </c>
    </row>
    <row r="28" customFormat="false" ht="15" hidden="false" customHeight="false" outlineLevel="0" collapsed="false">
      <c r="B28" s="34" t="n">
        <v>1</v>
      </c>
      <c r="C28" s="34" t="n">
        <f aca="false">$C$6+B28-1</f>
        <v>32</v>
      </c>
      <c r="D28" s="26" t="n">
        <f aca="false">$C$8</f>
        <v>85000</v>
      </c>
      <c r="E28" s="26" t="n">
        <f aca="false">IF(C28&lt;$C$7,$C$9*12*(1+$C$10)^(B28-1),0)</f>
        <v>18000</v>
      </c>
      <c r="F28" s="26" t="n">
        <f aca="false">IF(C28&lt;$C$7,(D28+E28/2)*$C$11,(D28)*$C$12)</f>
        <v>6580</v>
      </c>
      <c r="G28" s="18" t="n">
        <f aca="false">D28+E28+F28</f>
        <v>109580</v>
      </c>
    </row>
    <row r="29" customFormat="false" ht="15" hidden="false" customHeight="false" outlineLevel="0" collapsed="false">
      <c r="B29" s="34" t="n">
        <f aca="false">B28+1</f>
        <v>2</v>
      </c>
      <c r="C29" s="34" t="n">
        <f aca="false">$C$6+B29-1</f>
        <v>33</v>
      </c>
      <c r="D29" s="26" t="n">
        <f aca="false">G28</f>
        <v>109580</v>
      </c>
      <c r="E29" s="26" t="n">
        <f aca="false">IF(C29&lt;$C$7,$C$9*12*(1+$C$10)^(B29-1),0)</f>
        <v>18540</v>
      </c>
      <c r="F29" s="26" t="n">
        <f aca="false">IF(C29&lt;$C$7,(D29+E29/2)*$C$11,(D29)*$C$12)</f>
        <v>8319.5</v>
      </c>
      <c r="G29" s="18" t="n">
        <f aca="false">D29+E29+F29</f>
        <v>136439.5</v>
      </c>
    </row>
    <row r="30" customFormat="false" ht="15" hidden="false" customHeight="false" outlineLevel="0" collapsed="false">
      <c r="B30" s="34" t="n">
        <f aca="false">B29+1</f>
        <v>3</v>
      </c>
      <c r="C30" s="34" t="n">
        <f aca="false">$C$6+B30-1</f>
        <v>34</v>
      </c>
      <c r="D30" s="26" t="n">
        <f aca="false">G29</f>
        <v>136439.5</v>
      </c>
      <c r="E30" s="26" t="n">
        <f aca="false">IF(C30&lt;$C$7,$C$9*12*(1+$C$10)^(B30-1),0)</f>
        <v>19096.2</v>
      </c>
      <c r="F30" s="26" t="n">
        <f aca="false">IF(C30&lt;$C$7,(D30+E30/2)*$C$11,(D30)*$C$12)</f>
        <v>10219.132</v>
      </c>
      <c r="G30" s="18" t="n">
        <f aca="false">D30+E30+F30</f>
        <v>165754.832</v>
      </c>
    </row>
    <row r="31" customFormat="false" ht="15" hidden="false" customHeight="false" outlineLevel="0" collapsed="false">
      <c r="B31" s="34" t="n">
        <f aca="false">B30+1</f>
        <v>4</v>
      </c>
      <c r="C31" s="34" t="n">
        <f aca="false">$C$6+B31-1</f>
        <v>35</v>
      </c>
      <c r="D31" s="26" t="n">
        <f aca="false">G30</f>
        <v>165754.832</v>
      </c>
      <c r="E31" s="26" t="n">
        <f aca="false">IF(C31&lt;$C$7,$C$9*12*(1+$C$10)^(B31-1),0)</f>
        <v>19669.086</v>
      </c>
      <c r="F31" s="26" t="n">
        <f aca="false">IF(C31&lt;$C$7,(D31+E31/2)*$C$11,(D31)*$C$12)</f>
        <v>12291.25625</v>
      </c>
      <c r="G31" s="18" t="n">
        <f aca="false">D31+E31+F31</f>
        <v>197715.17425</v>
      </c>
    </row>
    <row r="32" customFormat="false" ht="15" hidden="false" customHeight="false" outlineLevel="0" collapsed="false">
      <c r="B32" s="34" t="n">
        <f aca="false">B31+1</f>
        <v>5</v>
      </c>
      <c r="C32" s="34" t="n">
        <f aca="false">$C$6+B32-1</f>
        <v>36</v>
      </c>
      <c r="D32" s="26" t="n">
        <f aca="false">G31</f>
        <v>197715.17425</v>
      </c>
      <c r="E32" s="26" t="n">
        <f aca="false">IF(C32&lt;$C$7,$C$9*12*(1+$C$10)^(B32-1),0)</f>
        <v>20259.15858</v>
      </c>
      <c r="F32" s="26" t="n">
        <f aca="false">IF(C32&lt;$C$7,(D32+E32/2)*$C$11,(D32)*$C$12)</f>
        <v>14549.1327478</v>
      </c>
      <c r="G32" s="18" t="n">
        <f aca="false">D32+E32+F32</f>
        <v>232523.4655778</v>
      </c>
    </row>
    <row r="33" customFormat="false" ht="15" hidden="false" customHeight="false" outlineLevel="0" collapsed="false">
      <c r="B33" s="34" t="n">
        <f aca="false">B32+1</f>
        <v>6</v>
      </c>
      <c r="C33" s="34" t="n">
        <f aca="false">$C$6+B33-1</f>
        <v>37</v>
      </c>
      <c r="D33" s="26" t="n">
        <f aca="false">G32</f>
        <v>232523.4655778</v>
      </c>
      <c r="E33" s="26" t="n">
        <f aca="false">IF(C33&lt;$C$7,$C$9*12*(1+$C$10)^(B33-1),0)</f>
        <v>20866.9333374</v>
      </c>
      <c r="F33" s="26" t="n">
        <f aca="false">IF(C33&lt;$C$7,(D33+E33/2)*$C$11,(D33)*$C$12)</f>
        <v>17006.985257255</v>
      </c>
      <c r="G33" s="18" t="n">
        <f aca="false">D33+E33+F33</f>
        <v>270397.384172455</v>
      </c>
    </row>
    <row r="34" customFormat="false" ht="15" hidden="false" customHeight="false" outlineLevel="0" collapsed="false">
      <c r="B34" s="34" t="n">
        <f aca="false">B33+1</f>
        <v>7</v>
      </c>
      <c r="C34" s="34" t="n">
        <f aca="false">$C$6+B34-1</f>
        <v>38</v>
      </c>
      <c r="D34" s="26" t="n">
        <f aca="false">G33</f>
        <v>270397.384172455</v>
      </c>
      <c r="E34" s="26" t="n">
        <f aca="false">IF(C34&lt;$C$7,$C$9*12*(1+$C$10)^(B34-1),0)</f>
        <v>21492.941337522</v>
      </c>
      <c r="F34" s="26" t="n">
        <f aca="false">IF(C34&lt;$C$7,(D34+E34/2)*$C$11,(D34)*$C$12)</f>
        <v>19680.0698388851</v>
      </c>
      <c r="G34" s="18" t="n">
        <f aca="false">D34+E34+F34</f>
        <v>311570.395348862</v>
      </c>
    </row>
    <row r="35" customFormat="false" ht="15" hidden="false" customHeight="false" outlineLevel="0" collapsed="false">
      <c r="B35" s="34" t="n">
        <f aca="false">B34+1</f>
        <v>8</v>
      </c>
      <c r="C35" s="34" t="n">
        <f aca="false">$C$6+B35-1</f>
        <v>39</v>
      </c>
      <c r="D35" s="26" t="n">
        <f aca="false">G34</f>
        <v>311570.395348862</v>
      </c>
      <c r="E35" s="26" t="n">
        <f aca="false">IF(C35&lt;$C$7,$C$9*12*(1+$C$10)^(B35-1),0)</f>
        <v>22137.7295776477</v>
      </c>
      <c r="F35" s="26" t="n">
        <f aca="false">IF(C35&lt;$C$7,(D35+E35/2)*$C$11,(D35)*$C$12)</f>
        <v>22584.748209638</v>
      </c>
      <c r="G35" s="18" t="n">
        <f aca="false">D35+E35+F35</f>
        <v>356292.873136148</v>
      </c>
    </row>
    <row r="36" customFormat="false" ht="15" hidden="false" customHeight="false" outlineLevel="0" collapsed="false">
      <c r="B36" s="34" t="n">
        <f aca="false">B35+1</f>
        <v>9</v>
      </c>
      <c r="C36" s="34" t="n">
        <f aca="false">$C$6+B36-1</f>
        <v>40</v>
      </c>
      <c r="D36" s="26" t="n">
        <f aca="false">G35</f>
        <v>356292.873136148</v>
      </c>
      <c r="E36" s="26" t="n">
        <f aca="false">IF(C36&lt;$C$7,$C$9*12*(1+$C$10)^(B36-1),0)</f>
        <v>22801.8614649771</v>
      </c>
      <c r="F36" s="26" t="n">
        <f aca="false">IF(C36&lt;$C$7,(D36+E36/2)*$C$11,(D36)*$C$12)</f>
        <v>25738.5662708046</v>
      </c>
      <c r="G36" s="18" t="n">
        <f aca="false">D36+E36+F36</f>
        <v>404833.300871929</v>
      </c>
    </row>
    <row r="37" customFormat="false" ht="15" hidden="false" customHeight="false" outlineLevel="0" collapsed="false">
      <c r="B37" s="34" t="n">
        <f aca="false">B36+1</f>
        <v>10</v>
      </c>
      <c r="C37" s="34" t="n">
        <f aca="false">$C$6+B37-1</f>
        <v>41</v>
      </c>
      <c r="D37" s="26" t="n">
        <f aca="false">G36</f>
        <v>404833.300871929</v>
      </c>
      <c r="E37" s="26" t="n">
        <f aca="false">IF(C37&lt;$C$7,$C$9*12*(1+$C$10)^(B37-1),0)</f>
        <v>23485.9173089264</v>
      </c>
      <c r="F37" s="26" t="n">
        <f aca="false">IF(C37&lt;$C$7,(D37+E37/2)*$C$11,(D37)*$C$12)</f>
        <v>29160.3381668475</v>
      </c>
      <c r="G37" s="18" t="n">
        <f aca="false">D37+E37+F37</f>
        <v>457479.556347703</v>
      </c>
    </row>
    <row r="38" customFormat="false" ht="15" hidden="false" customHeight="false" outlineLevel="0" collapsed="false">
      <c r="B38" s="34" t="n">
        <f aca="false">B37+1</f>
        <v>11</v>
      </c>
      <c r="C38" s="34" t="n">
        <f aca="false">$C$6+B38-1</f>
        <v>42</v>
      </c>
      <c r="D38" s="26" t="n">
        <f aca="false">G37</f>
        <v>457479.556347703</v>
      </c>
      <c r="E38" s="26" t="n">
        <f aca="false">IF(C38&lt;$C$7,$C$9*12*(1+$C$10)^(B38-1),0)</f>
        <v>24190.4948281942</v>
      </c>
      <c r="F38" s="26" t="n">
        <f aca="false">IF(C38&lt;$C$7,(D38+E38/2)*$C$11,(D38)*$C$12)</f>
        <v>32870.236263326</v>
      </c>
      <c r="G38" s="18" t="n">
        <f aca="false">D38+E38+F38</f>
        <v>514540.287439224</v>
      </c>
    </row>
    <row r="39" customFormat="false" ht="15" hidden="false" customHeight="false" outlineLevel="0" collapsed="false">
      <c r="B39" s="34" t="n">
        <f aca="false">B38+1</f>
        <v>12</v>
      </c>
      <c r="C39" s="34" t="n">
        <f aca="false">$C$6+B39-1</f>
        <v>43</v>
      </c>
      <c r="D39" s="26" t="n">
        <f aca="false">G38</f>
        <v>514540.287439224</v>
      </c>
      <c r="E39" s="26" t="n">
        <f aca="false">IF(C39&lt;$C$7,$C$9*12*(1+$C$10)^(B39-1),0)</f>
        <v>24916.20967304</v>
      </c>
      <c r="F39" s="26" t="n">
        <f aca="false">IF(C39&lt;$C$7,(D39+E39/2)*$C$11,(D39)*$C$12)</f>
        <v>36889.8874593021</v>
      </c>
      <c r="G39" s="18" t="n">
        <f aca="false">D39+E39+F39</f>
        <v>576346.384571566</v>
      </c>
    </row>
    <row r="40" customFormat="false" ht="15" hidden="false" customHeight="false" outlineLevel="0" collapsed="false">
      <c r="B40" s="34" t="n">
        <f aca="false">B39+1</f>
        <v>13</v>
      </c>
      <c r="C40" s="34" t="n">
        <f aca="false">$C$6+B40-1</f>
        <v>44</v>
      </c>
      <c r="D40" s="26" t="n">
        <f aca="false">G39</f>
        <v>576346.384571566</v>
      </c>
      <c r="E40" s="26" t="n">
        <f aca="false">IF(C40&lt;$C$7,$C$9*12*(1+$C$10)^(B40-1),0)</f>
        <v>25663.6959632312</v>
      </c>
      <c r="F40" s="26" t="n">
        <f aca="false">IF(C40&lt;$C$7,(D40+E40/2)*$C$11,(D40)*$C$12)</f>
        <v>41242.4762787227</v>
      </c>
      <c r="G40" s="18" t="n">
        <f aca="false">D40+E40+F40</f>
        <v>643252.55681352</v>
      </c>
    </row>
    <row r="41" customFormat="false" ht="15" hidden="false" customHeight="false" outlineLevel="0" collapsed="false">
      <c r="B41" s="34" t="n">
        <f aca="false">B40+1</f>
        <v>14</v>
      </c>
      <c r="C41" s="34" t="n">
        <f aca="false">$C$6+B41-1</f>
        <v>45</v>
      </c>
      <c r="D41" s="26" t="n">
        <f aca="false">G40</f>
        <v>643252.55681352</v>
      </c>
      <c r="E41" s="26" t="n">
        <f aca="false">IF(C41&lt;$C$7,$C$9*12*(1+$C$10)^(B41-1),0)</f>
        <v>26433.6068421282</v>
      </c>
      <c r="F41" s="26" t="n">
        <f aca="false">IF(C41&lt;$C$7,(D41+E41/2)*$C$11,(D41)*$C$12)</f>
        <v>45952.8552164209</v>
      </c>
      <c r="G41" s="18" t="n">
        <f aca="false">D41+E41+F41</f>
        <v>715639.018872069</v>
      </c>
    </row>
    <row r="42" customFormat="false" ht="15" hidden="false" customHeight="false" outlineLevel="0" collapsed="false">
      <c r="B42" s="34" t="n">
        <f aca="false">B41+1</f>
        <v>15</v>
      </c>
      <c r="C42" s="34" t="n">
        <f aca="false">$C$6+B42-1</f>
        <v>46</v>
      </c>
      <c r="D42" s="26" t="n">
        <f aca="false">G41</f>
        <v>715639.018872069</v>
      </c>
      <c r="E42" s="26" t="n">
        <f aca="false">IF(C42&lt;$C$7,$C$9*12*(1+$C$10)^(B42-1),0)</f>
        <v>27226.615047392</v>
      </c>
      <c r="F42" s="26" t="n">
        <f aca="false">IF(C42&lt;$C$7,(D42+E42/2)*$C$11,(D42)*$C$12)</f>
        <v>51047.6628477035</v>
      </c>
      <c r="G42" s="18" t="n">
        <f aca="false">D42+E42+F42</f>
        <v>793913.296767164</v>
      </c>
    </row>
    <row r="43" customFormat="false" ht="15" hidden="false" customHeight="false" outlineLevel="0" collapsed="false">
      <c r="B43" s="34" t="n">
        <f aca="false">B42+1</f>
        <v>16</v>
      </c>
      <c r="C43" s="34" t="n">
        <f aca="false">$C$6+B43-1</f>
        <v>47</v>
      </c>
      <c r="D43" s="26" t="n">
        <f aca="false">G42</f>
        <v>793913.296767164</v>
      </c>
      <c r="E43" s="26" t="n">
        <f aca="false">IF(C43&lt;$C$7,$C$9*12*(1+$C$10)^(B43-1),0)</f>
        <v>28043.4134988138</v>
      </c>
      <c r="F43" s="26" t="n">
        <f aca="false">IF(C43&lt;$C$7,(D43+E43/2)*$C$11,(D43)*$C$12)</f>
        <v>56555.45024616</v>
      </c>
      <c r="G43" s="18" t="n">
        <f aca="false">D43+E43+F43</f>
        <v>878512.160512138</v>
      </c>
    </row>
    <row r="44" customFormat="false" ht="15" hidden="false" customHeight="false" outlineLevel="0" collapsed="false">
      <c r="B44" s="34" t="n">
        <f aca="false">B43+1</f>
        <v>17</v>
      </c>
      <c r="C44" s="34" t="n">
        <f aca="false">$C$6+B44-1</f>
        <v>48</v>
      </c>
      <c r="D44" s="26" t="n">
        <f aca="false">G43</f>
        <v>878512.160512138</v>
      </c>
      <c r="E44" s="26" t="n">
        <f aca="false">IF(C44&lt;$C$7,$C$9*12*(1+$C$10)^(B44-1),0)</f>
        <v>28884.7159037782</v>
      </c>
      <c r="F44" s="26" t="n">
        <f aca="false">IF(C44&lt;$C$7,(D44+E44/2)*$C$11,(D44)*$C$12)</f>
        <v>62506.8162924819</v>
      </c>
      <c r="G44" s="18" t="n">
        <f aca="false">D44+E44+F44</f>
        <v>969903.692708398</v>
      </c>
    </row>
    <row r="45" customFormat="false" ht="15" hidden="false" customHeight="false" outlineLevel="0" collapsed="false">
      <c r="B45" s="34" t="n">
        <f aca="false">B44+1</f>
        <v>18</v>
      </c>
      <c r="C45" s="34" t="n">
        <f aca="false">$C$6+B45-1</f>
        <v>49</v>
      </c>
      <c r="D45" s="26" t="n">
        <f aca="false">G44</f>
        <v>969903.692708398</v>
      </c>
      <c r="E45" s="26" t="n">
        <f aca="false">IF(C45&lt;$C$7,$C$9*12*(1+$C$10)^(B45-1),0)</f>
        <v>29751.2573808915</v>
      </c>
      <c r="F45" s="26" t="n">
        <f aca="false">IF(C45&lt;$C$7,(D45+E45/2)*$C$11,(D45)*$C$12)</f>
        <v>68934.5524979191</v>
      </c>
      <c r="G45" s="18" t="n">
        <f aca="false">D45+E45+F45</f>
        <v>1068589.50258721</v>
      </c>
    </row>
    <row r="46" customFormat="false" ht="15" hidden="false" customHeight="false" outlineLevel="0" collapsed="false">
      <c r="B46" s="34" t="n">
        <f aca="false">B45+1</f>
        <v>19</v>
      </c>
      <c r="C46" s="34" t="n">
        <f aca="false">$C$6+B46-1</f>
        <v>50</v>
      </c>
      <c r="D46" s="26" t="n">
        <f aca="false">G45</f>
        <v>1068589.50258721</v>
      </c>
      <c r="E46" s="26" t="n">
        <f aca="false">IF(C46&lt;$C$7,$C$9*12*(1+$C$10)^(B46-1),0)</f>
        <v>30643.7951023183</v>
      </c>
      <c r="F46" s="26" t="n">
        <f aca="false">IF(C46&lt;$C$7,(D46+E46/2)*$C$11,(D46)*$C$12)</f>
        <v>75873.7980096858</v>
      </c>
      <c r="G46" s="18" t="n">
        <f aca="false">D46+E46+F46</f>
        <v>1175107.09569921</v>
      </c>
    </row>
    <row r="47" customFormat="false" ht="15" hidden="false" customHeight="false" outlineLevel="0" collapsed="false">
      <c r="B47" s="34" t="n">
        <f aca="false">B46+1</f>
        <v>20</v>
      </c>
      <c r="C47" s="34" t="n">
        <f aca="false">$C$6+B47-1</f>
        <v>51</v>
      </c>
      <c r="D47" s="26" t="n">
        <f aca="false">G46</f>
        <v>1175107.09569921</v>
      </c>
      <c r="E47" s="26" t="n">
        <f aca="false">IF(C47&lt;$C$7,$C$9*12*(1+$C$10)^(B47-1),0)</f>
        <v>31563.1089553878</v>
      </c>
      <c r="F47" s="26" t="n">
        <f aca="false">IF(C47&lt;$C$7,(D47+E47/2)*$C$11,(D47)*$C$12)</f>
        <v>83362.2055123835</v>
      </c>
      <c r="G47" s="18" t="n">
        <f aca="false">D47+E47+F47</f>
        <v>1290032.41016698</v>
      </c>
    </row>
    <row r="48" customFormat="false" ht="15" hidden="false" customHeight="false" outlineLevel="0" collapsed="false">
      <c r="B48" s="34" t="n">
        <f aca="false">B47+1</f>
        <v>21</v>
      </c>
      <c r="C48" s="34" t="n">
        <f aca="false">$C$6+B48-1</f>
        <v>52</v>
      </c>
      <c r="D48" s="26" t="n">
        <f aca="false">G47</f>
        <v>1290032.41016698</v>
      </c>
      <c r="E48" s="26" t="n">
        <f aca="false">IF(C48&lt;$C$7,$C$9*12*(1+$C$10)^(B48-1),0)</f>
        <v>32510.0022240495</v>
      </c>
      <c r="F48" s="26" t="n">
        <f aca="false">IF(C48&lt;$C$7,(D48+E48/2)*$C$11,(D48)*$C$12)</f>
        <v>91440.1187895306</v>
      </c>
      <c r="G48" s="18" t="n">
        <f aca="false">D48+E48+F48</f>
        <v>1413982.53118056</v>
      </c>
    </row>
    <row r="49" customFormat="false" ht="15" hidden="false" customHeight="false" outlineLevel="0" collapsed="false">
      <c r="B49" s="34" t="n">
        <f aca="false">B48+1</f>
        <v>22</v>
      </c>
      <c r="C49" s="34" t="n">
        <f aca="false">$C$6+B49-1</f>
        <v>53</v>
      </c>
      <c r="D49" s="26" t="n">
        <f aca="false">G48</f>
        <v>1413982.53118056</v>
      </c>
      <c r="E49" s="26" t="n">
        <f aca="false">IF(C49&lt;$C$7,$C$9*12*(1+$C$10)^(B49-1),0)</f>
        <v>33485.302290771</v>
      </c>
      <c r="F49" s="26" t="n">
        <f aca="false">IF(C49&lt;$C$7,(D49+E49/2)*$C$11,(D49)*$C$12)</f>
        <v>100150.762762817</v>
      </c>
      <c r="G49" s="18" t="n">
        <f aca="false">D49+E49+F49</f>
        <v>1547618.59623415</v>
      </c>
    </row>
    <row r="50" customFormat="false" ht="15" hidden="false" customHeight="false" outlineLevel="0" collapsed="false">
      <c r="B50" s="34" t="n">
        <f aca="false">B49+1</f>
        <v>23</v>
      </c>
      <c r="C50" s="34" t="n">
        <f aca="false">$C$6+B50-1</f>
        <v>54</v>
      </c>
      <c r="D50" s="26" t="n">
        <f aca="false">G49</f>
        <v>1547618.59623415</v>
      </c>
      <c r="E50" s="26" t="n">
        <f aca="false">IF(C50&lt;$C$7,$C$9*12*(1+$C$10)^(B50-1),0)</f>
        <v>34489.8613594941</v>
      </c>
      <c r="F50" s="26" t="n">
        <f aca="false">IF(C50&lt;$C$7,(D50+E50/2)*$C$11,(D50)*$C$12)</f>
        <v>109540.446883973</v>
      </c>
      <c r="G50" s="18" t="n">
        <f aca="false">D50+E50+F50</f>
        <v>1691648.90447762</v>
      </c>
    </row>
    <row r="51" customFormat="false" ht="15" hidden="false" customHeight="false" outlineLevel="0" collapsed="false">
      <c r="B51" s="34" t="n">
        <f aca="false">B50+1</f>
        <v>24</v>
      </c>
      <c r="C51" s="34" t="n">
        <f aca="false">$C$6+B51-1</f>
        <v>55</v>
      </c>
      <c r="D51" s="26" t="n">
        <f aca="false">G50</f>
        <v>1691648.90447762</v>
      </c>
      <c r="E51" s="26" t="n">
        <f aca="false">IF(C51&lt;$C$7,$C$9*12*(1+$C$10)^(B51-1),0)</f>
        <v>35524.5572002789</v>
      </c>
      <c r="F51" s="26" t="n">
        <f aca="false">IF(C51&lt;$C$7,(D51+E51/2)*$C$11,(D51)*$C$12)</f>
        <v>119658.782815443</v>
      </c>
      <c r="G51" s="18" t="n">
        <f aca="false">D51+E51+F51</f>
        <v>1846832.24449334</v>
      </c>
    </row>
    <row r="52" customFormat="false" ht="15" hidden="false" customHeight="false" outlineLevel="0" collapsed="false">
      <c r="B52" s="34" t="n">
        <f aca="false">B51+1</f>
        <v>25</v>
      </c>
      <c r="C52" s="34" t="n">
        <f aca="false">$C$6+B52-1</f>
        <v>56</v>
      </c>
      <c r="D52" s="26" t="n">
        <f aca="false">G51</f>
        <v>1846832.24449334</v>
      </c>
      <c r="E52" s="26" t="n">
        <f aca="false">IF(C52&lt;$C$7,$C$9*12*(1+$C$10)^(B52-1),0)</f>
        <v>36590.2939162873</v>
      </c>
      <c r="F52" s="26" t="n">
        <f aca="false">IF(C52&lt;$C$7,(D52+E52/2)*$C$11,(D52)*$C$12)</f>
        <v>130558.917401604</v>
      </c>
      <c r="G52" s="18" t="n">
        <f aca="false">D52+E52+F52</f>
        <v>2013981.45581123</v>
      </c>
    </row>
    <row r="53" customFormat="false" ht="15" hidden="false" customHeight="false" outlineLevel="0" collapsed="false">
      <c r="B53" s="34" t="n">
        <f aca="false">B52+1</f>
        <v>26</v>
      </c>
      <c r="C53" s="34" t="n">
        <f aca="false">$C$6+B53-1</f>
        <v>57</v>
      </c>
      <c r="D53" s="26" t="n">
        <f aca="false">G52</f>
        <v>2013981.45581123</v>
      </c>
      <c r="E53" s="26" t="n">
        <f aca="false">IF(C53&lt;$C$7,$C$9*12*(1+$C$10)^(B53-1),0)</f>
        <v>37688.0027337759</v>
      </c>
      <c r="F53" s="26" t="n">
        <f aca="false">IF(C53&lt;$C$7,(D53+E53/2)*$C$11,(D53)*$C$12)</f>
        <v>142297.782002468</v>
      </c>
      <c r="G53" s="18" t="n">
        <f aca="false">D53+E53+F53</f>
        <v>2193967.24054748</v>
      </c>
    </row>
    <row r="54" customFormat="false" ht="15" hidden="false" customHeight="false" outlineLevel="0" collapsed="false">
      <c r="B54" s="34" t="n">
        <f aca="false">B53+1</f>
        <v>27</v>
      </c>
      <c r="C54" s="34" t="n">
        <f aca="false">$C$6+B54-1</f>
        <v>58</v>
      </c>
      <c r="D54" s="26" t="n">
        <f aca="false">G53</f>
        <v>2193967.24054748</v>
      </c>
      <c r="E54" s="26" t="n">
        <f aca="false">IF(C54&lt;$C$7,$C$9*12*(1+$C$10)^(B54-1),0)</f>
        <v>38818.6428157892</v>
      </c>
      <c r="F54" s="26" t="n">
        <f aca="false">IF(C54&lt;$C$7,(D54+E54/2)*$C$11,(D54)*$C$12)</f>
        <v>154936.359336876</v>
      </c>
      <c r="G54" s="18" t="n">
        <f aca="false">D54+E54+F54</f>
        <v>2387722.24270014</v>
      </c>
    </row>
    <row r="55" customFormat="false" ht="15" hidden="false" customHeight="false" outlineLevel="0" collapsed="false">
      <c r="B55" s="34" t="n">
        <f aca="false">B54+1</f>
        <v>28</v>
      </c>
      <c r="C55" s="34" t="n">
        <f aca="false">$C$6+B55-1</f>
        <v>59</v>
      </c>
      <c r="D55" s="26" t="n">
        <f aca="false">G54</f>
        <v>2387722.24270014</v>
      </c>
      <c r="E55" s="26" t="n">
        <f aca="false">IF(C55&lt;$C$7,$C$9*12*(1+$C$10)^(B55-1),0)</f>
        <v>39983.2021002628</v>
      </c>
      <c r="F55" s="26" t="n">
        <f aca="false">IF(C55&lt;$C$7,(D55+E55/2)*$C$11,(D55)*$C$12)</f>
        <v>168539.969062519</v>
      </c>
      <c r="G55" s="18" t="n">
        <f aca="false">D55+E55+F55</f>
        <v>2596245.41386292</v>
      </c>
    </row>
    <row r="56" customFormat="false" ht="15" hidden="false" customHeight="false" outlineLevel="0" collapsed="false">
      <c r="B56" s="34" t="n">
        <f aca="false">B55+1</f>
        <v>29</v>
      </c>
      <c r="C56" s="34" t="n">
        <f aca="false">$C$6+B56-1</f>
        <v>60</v>
      </c>
      <c r="D56" s="26" t="n">
        <f aca="false">G55</f>
        <v>2596245.41386292</v>
      </c>
      <c r="E56" s="26" t="n">
        <f aca="false">IF(C56&lt;$C$7,$C$9*12*(1+$C$10)^(B56-1),0)</f>
        <v>0</v>
      </c>
      <c r="F56" s="26" t="n">
        <f aca="false">IF(C56&lt;$C$7,(D56+E56/2)*$C$11,(D56)*$C$12)</f>
        <v>116831.043623832</v>
      </c>
      <c r="G56" s="18" t="n">
        <f aca="false">D56+E56+F56</f>
        <v>2713076.45748676</v>
      </c>
    </row>
    <row r="57" customFormat="false" ht="15" hidden="false" customHeight="false" outlineLevel="0" collapsed="false">
      <c r="B57" s="34" t="n">
        <f aca="false">B56+1</f>
        <v>30</v>
      </c>
      <c r="C57" s="34" t="n">
        <f aca="false">$C$6+B57-1</f>
        <v>61</v>
      </c>
      <c r="D57" s="26" t="n">
        <f aca="false">G56</f>
        <v>2713076.45748676</v>
      </c>
      <c r="E57" s="26" t="n">
        <f aca="false">IF(C57&lt;$C$7,$C$9*12*(1+$C$10)^(B57-1),0)</f>
        <v>0</v>
      </c>
      <c r="F57" s="26" t="n">
        <f aca="false">IF(C57&lt;$C$7,(D57+E57/2)*$C$11,(D57)*$C$12)</f>
        <v>122088.440586904</v>
      </c>
      <c r="G57" s="18" t="n">
        <f aca="false">D57+E57+F57</f>
        <v>2835164.89807366</v>
      </c>
    </row>
    <row r="58" customFormat="false" ht="15" hidden="false" customHeight="false" outlineLevel="0" collapsed="false">
      <c r="B58" s="34" t="n">
        <f aca="false">B57+1</f>
        <v>31</v>
      </c>
      <c r="C58" s="34" t="n">
        <f aca="false">$C$6+B58-1</f>
        <v>62</v>
      </c>
      <c r="D58" s="26" t="n">
        <f aca="false">G57</f>
        <v>2835164.89807366</v>
      </c>
      <c r="E58" s="26" t="n">
        <f aca="false">IF(C58&lt;$C$7,$C$9*12*(1+$C$10)^(B58-1),0)</f>
        <v>0</v>
      </c>
      <c r="F58" s="26" t="n">
        <f aca="false">IF(C58&lt;$C$7,(D58+E58/2)*$C$11,(D58)*$C$12)</f>
        <v>127582.420413315</v>
      </c>
      <c r="G58" s="18" t="n">
        <f aca="false">D58+E58+F58</f>
        <v>2962747.31848697</v>
      </c>
    </row>
    <row r="59" customFormat="false" ht="15" hidden="false" customHeight="false" outlineLevel="0" collapsed="false">
      <c r="B59" s="34" t="n">
        <f aca="false">B58+1</f>
        <v>32</v>
      </c>
      <c r="C59" s="34" t="n">
        <f aca="false">$C$6+B59-1</f>
        <v>63</v>
      </c>
      <c r="D59" s="26" t="n">
        <f aca="false">G58</f>
        <v>2962747.31848697</v>
      </c>
      <c r="E59" s="26" t="n">
        <f aca="false">IF(C59&lt;$C$7,$C$9*12*(1+$C$10)^(B59-1),0)</f>
        <v>0</v>
      </c>
      <c r="F59" s="26" t="n">
        <f aca="false">IF(C59&lt;$C$7,(D59+E59/2)*$C$11,(D59)*$C$12)</f>
        <v>133323.629331914</v>
      </c>
      <c r="G59" s="18" t="n">
        <f aca="false">D59+E59+F59</f>
        <v>3096070.94781889</v>
      </c>
    </row>
    <row r="60" customFormat="false" ht="15" hidden="false" customHeight="false" outlineLevel="0" collapsed="false">
      <c r="B60" s="34" t="n">
        <f aca="false">B59+1</f>
        <v>33</v>
      </c>
      <c r="C60" s="34" t="n">
        <f aca="false">$C$6+B60-1</f>
        <v>64</v>
      </c>
      <c r="D60" s="26" t="n">
        <f aca="false">G59</f>
        <v>3096070.94781889</v>
      </c>
      <c r="E60" s="26" t="n">
        <f aca="false">IF(C60&lt;$C$7,$C$9*12*(1+$C$10)^(B60-1),0)</f>
        <v>0</v>
      </c>
      <c r="F60" s="26" t="n">
        <f aca="false">IF(C60&lt;$C$7,(D60+E60/2)*$C$11,(D60)*$C$12)</f>
        <v>139323.19265185</v>
      </c>
      <c r="G60" s="18" t="n">
        <f aca="false">D60+E60+F60</f>
        <v>3235394.14047074</v>
      </c>
    </row>
    <row r="61" customFormat="false" ht="15" hidden="false" customHeight="false" outlineLevel="0" collapsed="false">
      <c r="B61" s="34" t="n">
        <f aca="false">B60+1</f>
        <v>34</v>
      </c>
      <c r="C61" s="34" t="n">
        <f aca="false">$C$6+B61-1</f>
        <v>65</v>
      </c>
      <c r="D61" s="26" t="n">
        <f aca="false">G60</f>
        <v>3235394.14047074</v>
      </c>
      <c r="E61" s="26" t="n">
        <f aca="false">IF(C61&lt;$C$7,$C$9*12*(1+$C$10)^(B61-1),0)</f>
        <v>0</v>
      </c>
      <c r="F61" s="26" t="n">
        <f aca="false">IF(C61&lt;$C$7,(D61+E61/2)*$C$11,(D61)*$C$12)</f>
        <v>145592.736321183</v>
      </c>
      <c r="G61" s="18" t="n">
        <f aca="false">D61+E61+F61</f>
        <v>3380986.87679192</v>
      </c>
    </row>
    <row r="62" customFormat="false" ht="15" hidden="false" customHeight="false" outlineLevel="0" collapsed="false">
      <c r="B62" s="34" t="n">
        <f aca="false">B61+1</f>
        <v>35</v>
      </c>
      <c r="C62" s="34" t="n">
        <f aca="false">$C$6+B62-1</f>
        <v>66</v>
      </c>
      <c r="D62" s="26" t="n">
        <f aca="false">G61</f>
        <v>3380986.87679192</v>
      </c>
      <c r="E62" s="26" t="n">
        <f aca="false">IF(C62&lt;$C$7,$C$9*12*(1+$C$10)^(B62-1),0)</f>
        <v>0</v>
      </c>
      <c r="F62" s="26" t="n">
        <f aca="false">IF(C62&lt;$C$7,(D62+E62/2)*$C$11,(D62)*$C$12)</f>
        <v>152144.409455636</v>
      </c>
      <c r="G62" s="18" t="n">
        <f aca="false">D62+E62+F62</f>
        <v>3533131.28624756</v>
      </c>
    </row>
    <row r="63" customFormat="false" ht="15" hidden="false" customHeight="false" outlineLevel="0" collapsed="false">
      <c r="B63" s="34" t="n">
        <f aca="false">B62+1</f>
        <v>36</v>
      </c>
      <c r="C63" s="34" t="n">
        <f aca="false">$C$6+B63-1</f>
        <v>67</v>
      </c>
      <c r="D63" s="26" t="n">
        <f aca="false">G62</f>
        <v>3533131.28624756</v>
      </c>
      <c r="E63" s="26" t="n">
        <f aca="false">IF(C63&lt;$C$7,$C$9*12*(1+$C$10)^(B63-1),0)</f>
        <v>0</v>
      </c>
      <c r="F63" s="26" t="n">
        <f aca="false">IF(C63&lt;$C$7,(D63+E63/2)*$C$11,(D63)*$C$12)</f>
        <v>158990.90788114</v>
      </c>
      <c r="G63" s="18" t="n">
        <f aca="false">D63+E63+F63</f>
        <v>3692122.1941287</v>
      </c>
    </row>
    <row r="64" customFormat="false" ht="15" hidden="false" customHeight="false" outlineLevel="0" collapsed="false">
      <c r="B64" s="34" t="n">
        <f aca="false">B63+1</f>
        <v>37</v>
      </c>
      <c r="C64" s="34" t="n">
        <f aca="false">$C$6+B64-1</f>
        <v>68</v>
      </c>
      <c r="D64" s="26" t="n">
        <f aca="false">G63</f>
        <v>3692122.1941287</v>
      </c>
      <c r="E64" s="26" t="n">
        <f aca="false">IF(C64&lt;$C$7,$C$9*12*(1+$C$10)^(B64-1),0)</f>
        <v>0</v>
      </c>
      <c r="F64" s="26" t="n">
        <f aca="false">IF(C64&lt;$C$7,(D64+E64/2)*$C$11,(D64)*$C$12)</f>
        <v>166145.498735791</v>
      </c>
      <c r="G64" s="18" t="n">
        <f aca="false">D64+E64+F64</f>
        <v>3858267.69286449</v>
      </c>
    </row>
    <row r="65" customFormat="false" ht="15" hidden="false" customHeight="false" outlineLevel="0" collapsed="false">
      <c r="B65" s="34" t="n">
        <f aca="false">B64+1</f>
        <v>38</v>
      </c>
      <c r="C65" s="34" t="n">
        <f aca="false">$C$6+B65-1</f>
        <v>69</v>
      </c>
      <c r="D65" s="26" t="n">
        <f aca="false">G64</f>
        <v>3858267.69286449</v>
      </c>
      <c r="E65" s="26" t="n">
        <f aca="false">IF(C65&lt;$C$7,$C$9*12*(1+$C$10)^(B65-1),0)</f>
        <v>0</v>
      </c>
      <c r="F65" s="26" t="n">
        <f aca="false">IF(C65&lt;$C$7,(D65+E65/2)*$C$11,(D65)*$C$12)</f>
        <v>173622.046178902</v>
      </c>
      <c r="G65" s="18" t="n">
        <f aca="false">D65+E65+F65</f>
        <v>4031889.73904339</v>
      </c>
    </row>
    <row r="66" customFormat="false" ht="15" hidden="false" customHeight="false" outlineLevel="0" collapsed="false">
      <c r="B66" s="34" t="n">
        <f aca="false">B65+1</f>
        <v>39</v>
      </c>
      <c r="C66" s="34" t="n">
        <f aca="false">$C$6+B66-1</f>
        <v>70</v>
      </c>
      <c r="D66" s="26" t="n">
        <f aca="false">G65</f>
        <v>4031889.73904339</v>
      </c>
      <c r="E66" s="26" t="n">
        <f aca="false">IF(C66&lt;$C$7,$C$9*12*(1+$C$10)^(B66-1),0)</f>
        <v>0</v>
      </c>
      <c r="F66" s="26" t="n">
        <f aca="false">IF(C66&lt;$C$7,(D66+E66/2)*$C$11,(D66)*$C$12)</f>
        <v>181435.038256953</v>
      </c>
      <c r="G66" s="18" t="n">
        <f aca="false">D66+E66+F66</f>
        <v>4213324.77730034</v>
      </c>
    </row>
    <row r="67" customFormat="false" ht="15" hidden="false" customHeight="false" outlineLevel="0" collapsed="false">
      <c r="B67" s="34" t="n">
        <f aca="false">B66+1</f>
        <v>40</v>
      </c>
      <c r="C67" s="34" t="n">
        <f aca="false">$C$6+B67-1</f>
        <v>71</v>
      </c>
      <c r="D67" s="26" t="n">
        <f aca="false">G66</f>
        <v>4213324.77730034</v>
      </c>
      <c r="E67" s="26" t="n">
        <f aca="false">IF(C67&lt;$C$7,$C$9*12*(1+$C$10)^(B67-1),0)</f>
        <v>0</v>
      </c>
      <c r="F67" s="26" t="n">
        <f aca="false">IF(C67&lt;$C$7,(D67+E67/2)*$C$11,(D67)*$C$12)</f>
        <v>189599.614978515</v>
      </c>
      <c r="G67" s="18" t="n">
        <f aca="false">D67+E67+F67</f>
        <v>4402924.39227886</v>
      </c>
    </row>
    <row r="69" customFormat="false" ht="49.5" hidden="false" customHeight="true" outlineLevel="0" collapsed="false">
      <c r="B69" s="37" t="s">
        <v>155</v>
      </c>
      <c r="C69" s="37"/>
      <c r="D69" s="37"/>
      <c r="E69" s="37"/>
      <c r="F69" s="37"/>
      <c r="G69" s="37"/>
      <c r="H69" s="37"/>
      <c r="I69" s="37"/>
    </row>
  </sheetData>
  <mergeCells count="6">
    <mergeCell ref="B2:I2"/>
    <mergeCell ref="B3:I3"/>
    <mergeCell ref="B5:I5"/>
    <mergeCell ref="B17:I17"/>
    <mergeCell ref="B26:I26"/>
    <mergeCell ref="B69:I69"/>
  </mergeCells>
  <conditionalFormatting sqref="C2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3"/>
    <col collapsed="false" customWidth="true" hidden="false" outlineLevel="0" max="9" min="8" style="0" width="16"/>
    <col collapsed="false" customWidth="true" hidden="false" outlineLevel="0" max="10" min="10" style="0" width="13"/>
  </cols>
  <sheetData>
    <row r="2" customFormat="false" ht="27.75" hidden="false" customHeight="true" outlineLevel="0" collapsed="false">
      <c r="B2" s="11" t="s">
        <v>156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B3" s="12" t="s">
        <v>157</v>
      </c>
      <c r="C3" s="12"/>
      <c r="D3" s="12"/>
      <c r="E3" s="12"/>
      <c r="F3" s="12"/>
      <c r="G3" s="12"/>
      <c r="H3" s="12"/>
      <c r="I3" s="12"/>
      <c r="J3" s="12"/>
    </row>
    <row r="5" customFormat="false" ht="19.5" hidden="false" customHeight="true" outlineLevel="0" collapsed="false">
      <c r="B5" s="13" t="s">
        <v>158</v>
      </c>
      <c r="C5" s="13"/>
      <c r="D5" s="13"/>
      <c r="E5" s="13"/>
      <c r="F5" s="13"/>
      <c r="G5" s="13"/>
      <c r="H5" s="13"/>
      <c r="I5" s="13"/>
      <c r="J5" s="13"/>
    </row>
    <row r="6" customFormat="false" ht="23.85" hidden="false" customHeight="false" outlineLevel="0" collapsed="false">
      <c r="B6" s="15" t="s">
        <v>159</v>
      </c>
      <c r="C6" s="15" t="s">
        <v>160</v>
      </c>
      <c r="D6" s="15" t="s">
        <v>161</v>
      </c>
      <c r="E6" s="15" t="s">
        <v>162</v>
      </c>
      <c r="F6" s="15" t="s">
        <v>163</v>
      </c>
      <c r="G6" s="15" t="s">
        <v>164</v>
      </c>
      <c r="H6" s="15" t="s">
        <v>165</v>
      </c>
      <c r="I6" s="15" t="s">
        <v>166</v>
      </c>
      <c r="J6" s="15" t="s">
        <v>167</v>
      </c>
    </row>
    <row r="7" customFormat="false" ht="15" hidden="false" customHeight="false" outlineLevel="0" collapsed="false">
      <c r="B7" s="32" t="s">
        <v>168</v>
      </c>
      <c r="C7" s="38" t="n">
        <v>120</v>
      </c>
      <c r="D7" s="17" t="n">
        <v>18000</v>
      </c>
      <c r="E7" s="17" t="n">
        <v>15200</v>
      </c>
      <c r="F7" s="26" t="n">
        <f aca="false">D7-C7</f>
        <v>17880</v>
      </c>
      <c r="G7" s="38" t="n">
        <v>410</v>
      </c>
      <c r="H7" s="43" t="str">
        <f aca="false">IF(G7&gt;365,"Long-Term","Short-Term")</f>
        <v>Long-Term</v>
      </c>
      <c r="I7" s="43" t="str">
        <f aca="false">IF(F7&lt;0,"Harvest Candidate","Hold")</f>
        <v>Hold</v>
      </c>
      <c r="J7" s="26" t="n">
        <f aca="false">IF(I7="Harvest Candidate",F7,0)</f>
        <v>0</v>
      </c>
    </row>
    <row r="8" customFormat="false" ht="15" hidden="false" customHeight="false" outlineLevel="0" collapsed="false">
      <c r="B8" s="32" t="s">
        <v>169</v>
      </c>
      <c r="C8" s="38" t="n">
        <v>80</v>
      </c>
      <c r="D8" s="17" t="n">
        <v>9200</v>
      </c>
      <c r="E8" s="17" t="n">
        <v>7850</v>
      </c>
      <c r="F8" s="26" t="n">
        <f aca="false">D8-C8</f>
        <v>9120</v>
      </c>
      <c r="G8" s="38" t="n">
        <v>200</v>
      </c>
      <c r="H8" s="43" t="str">
        <f aca="false">IF(G8&gt;365,"Long-Term","Short-Term")</f>
        <v>Short-Term</v>
      </c>
      <c r="I8" s="43" t="str">
        <f aca="false">IF(F8&lt;0,"Harvest Candidate","Hold")</f>
        <v>Hold</v>
      </c>
      <c r="J8" s="26" t="n">
        <f aca="false">IF(I8="Harvest Candidate",F8,0)</f>
        <v>0</v>
      </c>
    </row>
    <row r="9" customFormat="false" ht="15" hidden="false" customHeight="false" outlineLevel="0" collapsed="false">
      <c r="B9" s="32" t="s">
        <v>170</v>
      </c>
      <c r="C9" s="38" t="n">
        <v>200</v>
      </c>
      <c r="D9" s="17" t="n">
        <v>14000</v>
      </c>
      <c r="E9" s="17" t="n">
        <v>16100</v>
      </c>
      <c r="F9" s="26" t="n">
        <f aca="false">D9-C9</f>
        <v>13800</v>
      </c>
      <c r="G9" s="38" t="n">
        <v>600</v>
      </c>
      <c r="H9" s="43" t="str">
        <f aca="false">IF(G9&gt;365,"Long-Term","Short-Term")</f>
        <v>Long-Term</v>
      </c>
      <c r="I9" s="43" t="str">
        <f aca="false">IF(F9&lt;0,"Harvest Candidate","Hold")</f>
        <v>Hold</v>
      </c>
      <c r="J9" s="26" t="n">
        <f aca="false">IF(I9="Harvest Candidate",F9,0)</f>
        <v>0</v>
      </c>
    </row>
    <row r="10" customFormat="false" ht="15" hidden="false" customHeight="false" outlineLevel="0" collapsed="false">
      <c r="B10" s="32" t="s">
        <v>171</v>
      </c>
      <c r="C10" s="38" t="n">
        <v>300</v>
      </c>
      <c r="D10" s="17" t="n">
        <v>21000</v>
      </c>
      <c r="E10" s="17" t="n">
        <v>20400</v>
      </c>
      <c r="F10" s="26" t="n">
        <f aca="false">D10-C10</f>
        <v>20700</v>
      </c>
      <c r="G10" s="38" t="n">
        <v>800</v>
      </c>
      <c r="H10" s="43" t="str">
        <f aca="false">IF(G10&gt;365,"Long-Term","Short-Term")</f>
        <v>Long-Term</v>
      </c>
      <c r="I10" s="43" t="str">
        <f aca="false">IF(F10&lt;0,"Harvest Candidate","Hold")</f>
        <v>Hold</v>
      </c>
      <c r="J10" s="26" t="n">
        <f aca="false">IF(I10="Harvest Candidate",F10,0)</f>
        <v>0</v>
      </c>
    </row>
    <row r="11" customFormat="false" ht="15" hidden="false" customHeight="false" outlineLevel="0" collapsed="false">
      <c r="B11" s="32" t="s">
        <v>172</v>
      </c>
      <c r="C11" s="38" t="n">
        <v>150</v>
      </c>
      <c r="D11" s="17" t="n">
        <v>11500</v>
      </c>
      <c r="E11" s="17" t="n">
        <v>9100</v>
      </c>
      <c r="F11" s="26" t="n">
        <f aca="false">D11-C11</f>
        <v>11350</v>
      </c>
      <c r="G11" s="38" t="n">
        <v>95</v>
      </c>
      <c r="H11" s="43" t="str">
        <f aca="false">IF(G11&gt;365,"Long-Term","Short-Term")</f>
        <v>Short-Term</v>
      </c>
      <c r="I11" s="43" t="str">
        <f aca="false">IF(F11&lt;0,"Harvest Candidate","Hold")</f>
        <v>Hold</v>
      </c>
      <c r="J11" s="26" t="n">
        <f aca="false">IF(I11="Harvest Candidate",F11,0)</f>
        <v>0</v>
      </c>
    </row>
    <row r="12" customFormat="false" ht="15" hidden="false" customHeight="false" outlineLevel="0" collapsed="false">
      <c r="B12" s="19" t="s">
        <v>115</v>
      </c>
      <c r="C12" s="36"/>
      <c r="D12" s="20" t="n">
        <f aca="false">SUM(D7:D11)</f>
        <v>73700</v>
      </c>
      <c r="E12" s="20" t="n">
        <f aca="false">SUM(E7:E11)</f>
        <v>68650</v>
      </c>
      <c r="F12" s="20" t="n">
        <f aca="false">SUM(F7:F11)</f>
        <v>72850</v>
      </c>
      <c r="G12" s="36"/>
      <c r="H12" s="36"/>
      <c r="I12" s="36"/>
      <c r="J12" s="20" t="n">
        <f aca="false">SUM(J7:J11)</f>
        <v>0</v>
      </c>
    </row>
    <row r="14" customFormat="false" ht="19.5" hidden="false" customHeight="true" outlineLevel="0" collapsed="false">
      <c r="B14" s="21" t="s">
        <v>173</v>
      </c>
      <c r="C14" s="21"/>
      <c r="D14" s="21"/>
      <c r="E14" s="21"/>
      <c r="F14" s="21"/>
      <c r="G14" s="21"/>
      <c r="H14" s="21"/>
      <c r="I14" s="21"/>
      <c r="J14" s="21"/>
    </row>
    <row r="15" customFormat="false" ht="15" hidden="false" customHeight="false" outlineLevel="0" collapsed="false">
      <c r="B15" s="16" t="s">
        <v>174</v>
      </c>
      <c r="D15" s="26" t="n">
        <f aca="false">SUM(J7:J11)</f>
        <v>0</v>
      </c>
    </row>
    <row r="16" customFormat="false" ht="15" hidden="false" customHeight="false" outlineLevel="0" collapsed="false">
      <c r="B16" s="16" t="s">
        <v>175</v>
      </c>
      <c r="D16" s="17" t="n">
        <v>0</v>
      </c>
    </row>
    <row r="17" customFormat="false" ht="15" hidden="false" customHeight="false" outlineLevel="0" collapsed="false">
      <c r="B17" s="16" t="s">
        <v>176</v>
      </c>
      <c r="D17" s="17" t="n">
        <v>0</v>
      </c>
    </row>
    <row r="18" customFormat="false" ht="15" hidden="false" customHeight="false" outlineLevel="0" collapsed="false">
      <c r="B18" s="16" t="s">
        <v>177</v>
      </c>
      <c r="D18" s="17" t="n">
        <v>0</v>
      </c>
    </row>
    <row r="19" customFormat="false" ht="15" hidden="false" customHeight="false" outlineLevel="0" collapsed="false">
      <c r="B19" s="40" t="s">
        <v>178</v>
      </c>
      <c r="D19" s="18" t="n">
        <f aca="false">D15+D16+D17+D18</f>
        <v>0</v>
      </c>
    </row>
    <row r="20" customFormat="false" ht="15" hidden="false" customHeight="false" outlineLevel="0" collapsed="false">
      <c r="B20" s="16" t="s">
        <v>179</v>
      </c>
      <c r="D20" s="17" t="n">
        <v>3000</v>
      </c>
    </row>
    <row r="21" customFormat="false" ht="15" hidden="false" customHeight="false" outlineLevel="0" collapsed="false">
      <c r="B21" s="40" t="s">
        <v>180</v>
      </c>
      <c r="D21" s="18" t="n">
        <f aca="false">IF(D19&gt;=0,0,MIN(-D19,D20))</f>
        <v>0</v>
      </c>
    </row>
    <row r="22" customFormat="false" ht="15" hidden="false" customHeight="false" outlineLevel="0" collapsed="false">
      <c r="B22" s="44" t="s">
        <v>181</v>
      </c>
      <c r="C22" s="45"/>
      <c r="D22" s="29" t="n">
        <f aca="false">IF(D19&gt;=0,0,(-D19)-D21)</f>
        <v>0</v>
      </c>
    </row>
    <row r="24" customFormat="false" ht="60" hidden="false" customHeight="true" outlineLevel="0" collapsed="false">
      <c r="B24" s="37" t="s">
        <v>182</v>
      </c>
      <c r="C24" s="37"/>
      <c r="D24" s="37"/>
      <c r="E24" s="37"/>
      <c r="F24" s="37"/>
      <c r="G24" s="37"/>
      <c r="H24" s="37"/>
      <c r="I24" s="37"/>
      <c r="J24" s="37"/>
    </row>
  </sheetData>
  <mergeCells count="5">
    <mergeCell ref="B2:J2"/>
    <mergeCell ref="B3:J3"/>
    <mergeCell ref="B5:J5"/>
    <mergeCell ref="B14:J14"/>
    <mergeCell ref="B24:J24"/>
  </mergeCells>
  <conditionalFormatting sqref="F7:F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11" min="4" style="0" width="12"/>
    <col collapsed="false" customWidth="true" hidden="false" outlineLevel="0" max="12" min="12" style="0" width="16"/>
  </cols>
  <sheetData>
    <row r="2" customFormat="false" ht="27.75" hidden="false" customHeight="true" outlineLevel="0" collapsed="false">
      <c r="B2" s="11" t="s">
        <v>183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B3" s="12" t="s">
        <v>14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5" customFormat="false" ht="19.5" hidden="false" customHeight="true" outlineLevel="0" collapsed="false">
      <c r="B5" s="13" t="s">
        <v>184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15" hidden="false" customHeight="true" outlineLevel="0" collapsed="false">
      <c r="B6" s="22" t="s">
        <v>185</v>
      </c>
      <c r="C6" s="46"/>
      <c r="D6" s="46"/>
      <c r="E6" s="46"/>
      <c r="F6" s="46"/>
      <c r="G6" s="46"/>
      <c r="H6" s="46"/>
      <c r="I6" s="37" t="s">
        <v>186</v>
      </c>
      <c r="J6" s="37"/>
      <c r="K6" s="37"/>
      <c r="L6" s="37"/>
    </row>
    <row r="7" customFormat="false" ht="22.35" hidden="false" customHeight="true" outlineLevel="0" collapsed="false">
      <c r="B7" s="22" t="s">
        <v>187</v>
      </c>
      <c r="C7" s="46"/>
      <c r="D7" s="46"/>
      <c r="E7" s="46"/>
      <c r="F7" s="46"/>
      <c r="G7" s="46"/>
      <c r="H7" s="46"/>
      <c r="I7" s="37" t="s">
        <v>188</v>
      </c>
      <c r="J7" s="37"/>
      <c r="K7" s="37"/>
      <c r="L7" s="37"/>
    </row>
    <row r="8" customFormat="false" ht="15" hidden="false" customHeight="true" outlineLevel="0" collapsed="false">
      <c r="B8" s="22" t="s">
        <v>189</v>
      </c>
      <c r="C8" s="46"/>
      <c r="D8" s="46"/>
      <c r="E8" s="46"/>
      <c r="F8" s="46"/>
      <c r="G8" s="46"/>
      <c r="H8" s="46"/>
      <c r="I8" s="37" t="s">
        <v>190</v>
      </c>
      <c r="J8" s="37"/>
      <c r="K8" s="37"/>
      <c r="L8" s="37"/>
    </row>
    <row r="9" customFormat="false" ht="15" hidden="false" customHeight="true" outlineLevel="0" collapsed="false">
      <c r="B9" s="22" t="s">
        <v>191</v>
      </c>
      <c r="C9" s="46"/>
      <c r="D9" s="46"/>
      <c r="E9" s="46"/>
      <c r="F9" s="46"/>
      <c r="G9" s="46"/>
      <c r="H9" s="46"/>
      <c r="I9" s="37" t="s">
        <v>192</v>
      </c>
      <c r="J9" s="37"/>
      <c r="K9" s="37"/>
      <c r="L9" s="37"/>
    </row>
    <row r="10" customFormat="false" ht="15" hidden="false" customHeight="true" outlineLevel="0" collapsed="false">
      <c r="B10" s="22" t="s">
        <v>193</v>
      </c>
      <c r="C10" s="46"/>
      <c r="D10" s="46"/>
      <c r="E10" s="46"/>
      <c r="F10" s="46"/>
      <c r="G10" s="46"/>
      <c r="H10" s="46"/>
      <c r="I10" s="37" t="s">
        <v>194</v>
      </c>
      <c r="J10" s="37"/>
      <c r="K10" s="37"/>
      <c r="L10" s="37"/>
    </row>
    <row r="11" customFormat="false" ht="15" hidden="false" customHeight="true" outlineLevel="0" collapsed="false">
      <c r="B11" s="22" t="s">
        <v>195</v>
      </c>
      <c r="C11" s="46"/>
      <c r="D11" s="46"/>
      <c r="E11" s="46"/>
      <c r="F11" s="46"/>
      <c r="G11" s="46"/>
      <c r="H11" s="46"/>
      <c r="I11" s="37" t="s">
        <v>196</v>
      </c>
      <c r="J11" s="37"/>
      <c r="K11" s="37"/>
      <c r="L11" s="37"/>
    </row>
    <row r="12" customFormat="false" ht="15" hidden="false" customHeight="true" outlineLevel="0" collapsed="false">
      <c r="B12" s="22" t="s">
        <v>197</v>
      </c>
      <c r="C12" s="46"/>
      <c r="D12" s="46"/>
      <c r="E12" s="46"/>
      <c r="F12" s="46"/>
      <c r="G12" s="46"/>
      <c r="H12" s="46"/>
      <c r="I12" s="37" t="s">
        <v>198</v>
      </c>
      <c r="J12" s="37"/>
      <c r="K12" s="37"/>
      <c r="L12" s="37"/>
    </row>
    <row r="13" customFormat="false" ht="15" hidden="false" customHeight="true" outlineLevel="0" collapsed="false">
      <c r="B13" s="22" t="s">
        <v>199</v>
      </c>
      <c r="C13" s="46"/>
      <c r="D13" s="46"/>
      <c r="E13" s="46"/>
      <c r="F13" s="46"/>
      <c r="G13" s="46"/>
      <c r="H13" s="46"/>
      <c r="I13" s="37" t="s">
        <v>200</v>
      </c>
      <c r="J13" s="37"/>
      <c r="K13" s="37"/>
      <c r="L13" s="37"/>
    </row>
    <row r="15" customFormat="false" ht="19.5" hidden="false" customHeight="true" outlineLevel="0" collapsed="false">
      <c r="B15" s="21" t="s">
        <v>201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customFormat="false" ht="23.85" hidden="false" customHeight="false" outlineLevel="0" collapsed="false">
      <c r="B16" s="15" t="s">
        <v>202</v>
      </c>
      <c r="C16" s="15" t="s">
        <v>203</v>
      </c>
      <c r="D16" s="15" t="s">
        <v>204</v>
      </c>
      <c r="E16" s="15" t="s">
        <v>205</v>
      </c>
      <c r="F16" s="15" t="s">
        <v>206</v>
      </c>
      <c r="G16" s="15" t="s">
        <v>207</v>
      </c>
      <c r="H16" s="15" t="s">
        <v>208</v>
      </c>
      <c r="I16" s="15" t="s">
        <v>209</v>
      </c>
      <c r="J16" s="15" t="s">
        <v>210</v>
      </c>
      <c r="K16" s="15" t="s">
        <v>211</v>
      </c>
      <c r="L16" s="15" t="s">
        <v>212</v>
      </c>
      <c r="M16" s="15" t="s">
        <v>213</v>
      </c>
    </row>
    <row r="17" customFormat="false" ht="15" hidden="false" customHeight="false" outlineLevel="0" collapsed="false">
      <c r="B17" s="34" t="n">
        <v>1</v>
      </c>
      <c r="C17" s="47"/>
      <c r="D17" s="48"/>
      <c r="E17" s="38" t="n">
        <v>0</v>
      </c>
      <c r="F17" s="39" t="n">
        <v>0</v>
      </c>
      <c r="G17" s="17" t="n">
        <v>0</v>
      </c>
      <c r="H17" s="17" t="n">
        <v>0</v>
      </c>
      <c r="I17" s="49" t="n">
        <f aca="false">IFERROR((F17*G17)/((1-F17)*ABS(H17)),0)</f>
        <v>0</v>
      </c>
      <c r="J17" s="39" t="n">
        <v>0</v>
      </c>
      <c r="K17" s="50" t="n">
        <v>0</v>
      </c>
      <c r="L17" s="26" t="n">
        <f aca="false">E17*((F17*G17)-((1-F17)*ABS(H17)))</f>
        <v>0</v>
      </c>
      <c r="M17" s="43" t="str">
        <f aca="false">IF(AND(I17&gt;=1.5,K17&gt;=1,J17&lt;=0.2),"Promote to Paper Trading",IF(I17&lt;1,"Reject","Refine Parameters"))</f>
        <v>Reject</v>
      </c>
    </row>
    <row r="18" customFormat="false" ht="15" hidden="false" customHeight="false" outlineLevel="0" collapsed="false">
      <c r="B18" s="34" t="n">
        <v>2</v>
      </c>
      <c r="C18" s="47"/>
      <c r="D18" s="48"/>
      <c r="E18" s="38" t="n">
        <v>0</v>
      </c>
      <c r="F18" s="39" t="n">
        <v>0</v>
      </c>
      <c r="G18" s="17" t="n">
        <v>0</v>
      </c>
      <c r="H18" s="17" t="n">
        <v>0</v>
      </c>
      <c r="I18" s="49" t="n">
        <f aca="false">IFERROR((F18*G18)/((1-F18)*ABS(H18)),0)</f>
        <v>0</v>
      </c>
      <c r="J18" s="39" t="n">
        <v>0</v>
      </c>
      <c r="K18" s="50" t="n">
        <v>0</v>
      </c>
      <c r="L18" s="26" t="n">
        <f aca="false">E18*((F18*G18)-((1-F18)*ABS(H18)))</f>
        <v>0</v>
      </c>
      <c r="M18" s="43" t="str">
        <f aca="false">IF(AND(I18&gt;=1.5,K18&gt;=1,J18&lt;=0.2),"Promote to Paper Trading",IF(I18&lt;1,"Reject","Refine Parameters"))</f>
        <v>Reject</v>
      </c>
    </row>
    <row r="19" customFormat="false" ht="15" hidden="false" customHeight="false" outlineLevel="0" collapsed="false">
      <c r="B19" s="34" t="n">
        <v>3</v>
      </c>
      <c r="C19" s="47"/>
      <c r="D19" s="48"/>
      <c r="E19" s="38" t="n">
        <v>0</v>
      </c>
      <c r="F19" s="39" t="n">
        <v>0</v>
      </c>
      <c r="G19" s="17" t="n">
        <v>0</v>
      </c>
      <c r="H19" s="17" t="n">
        <v>0</v>
      </c>
      <c r="I19" s="49" t="n">
        <f aca="false">IFERROR((F19*G19)/((1-F19)*ABS(H19)),0)</f>
        <v>0</v>
      </c>
      <c r="J19" s="39" t="n">
        <v>0</v>
      </c>
      <c r="K19" s="50" t="n">
        <v>0</v>
      </c>
      <c r="L19" s="26" t="n">
        <f aca="false">E19*((F19*G19)-((1-F19)*ABS(H19)))</f>
        <v>0</v>
      </c>
      <c r="M19" s="43" t="str">
        <f aca="false">IF(AND(I19&gt;=1.5,K19&gt;=1,J19&lt;=0.2),"Promote to Paper Trading",IF(I19&lt;1,"Reject","Refine Parameters"))</f>
        <v>Reject</v>
      </c>
    </row>
    <row r="20" customFormat="false" ht="15" hidden="false" customHeight="false" outlineLevel="0" collapsed="false">
      <c r="B20" s="34" t="n">
        <v>4</v>
      </c>
      <c r="C20" s="47"/>
      <c r="D20" s="48"/>
      <c r="E20" s="38" t="n">
        <v>0</v>
      </c>
      <c r="F20" s="39" t="n">
        <v>0</v>
      </c>
      <c r="G20" s="17" t="n">
        <v>0</v>
      </c>
      <c r="H20" s="17" t="n">
        <v>0</v>
      </c>
      <c r="I20" s="49" t="n">
        <f aca="false">IFERROR((F20*G20)/((1-F20)*ABS(H20)),0)</f>
        <v>0</v>
      </c>
      <c r="J20" s="39" t="n">
        <v>0</v>
      </c>
      <c r="K20" s="50" t="n">
        <v>0</v>
      </c>
      <c r="L20" s="26" t="n">
        <f aca="false">E20*((F20*G20)-((1-F20)*ABS(H20)))</f>
        <v>0</v>
      </c>
      <c r="M20" s="43" t="str">
        <f aca="false">IF(AND(I20&gt;=1.5,K20&gt;=1,J20&lt;=0.2),"Promote to Paper Trading",IF(I20&lt;1,"Reject","Refine Parameters"))</f>
        <v>Reject</v>
      </c>
    </row>
    <row r="21" customFormat="false" ht="15" hidden="false" customHeight="false" outlineLevel="0" collapsed="false">
      <c r="B21" s="34" t="n">
        <v>5</v>
      </c>
      <c r="C21" s="47"/>
      <c r="D21" s="48"/>
      <c r="E21" s="38" t="n">
        <v>0</v>
      </c>
      <c r="F21" s="39" t="n">
        <v>0</v>
      </c>
      <c r="G21" s="17" t="n">
        <v>0</v>
      </c>
      <c r="H21" s="17" t="n">
        <v>0</v>
      </c>
      <c r="I21" s="49" t="n">
        <f aca="false">IFERROR((F21*G21)/((1-F21)*ABS(H21)),0)</f>
        <v>0</v>
      </c>
      <c r="J21" s="39" t="n">
        <v>0</v>
      </c>
      <c r="K21" s="50" t="n">
        <v>0</v>
      </c>
      <c r="L21" s="26" t="n">
        <f aca="false">E21*((F21*G21)-((1-F21)*ABS(H21)))</f>
        <v>0</v>
      </c>
      <c r="M21" s="43" t="str">
        <f aca="false">IF(AND(I21&gt;=1.5,K21&gt;=1,J21&lt;=0.2),"Promote to Paper Trading",IF(I21&lt;1,"Reject","Refine Parameters"))</f>
        <v>Reject</v>
      </c>
    </row>
    <row r="22" customFormat="false" ht="15" hidden="false" customHeight="false" outlineLevel="0" collapsed="false">
      <c r="B22" s="34" t="n">
        <v>6</v>
      </c>
      <c r="C22" s="47"/>
      <c r="D22" s="48"/>
      <c r="E22" s="38" t="n">
        <v>0</v>
      </c>
      <c r="F22" s="39" t="n">
        <v>0</v>
      </c>
      <c r="G22" s="17" t="n">
        <v>0</v>
      </c>
      <c r="H22" s="17" t="n">
        <v>0</v>
      </c>
      <c r="I22" s="49" t="n">
        <f aca="false">IFERROR((F22*G22)/((1-F22)*ABS(H22)),0)</f>
        <v>0</v>
      </c>
      <c r="J22" s="39" t="n">
        <v>0</v>
      </c>
      <c r="K22" s="50" t="n">
        <v>0</v>
      </c>
      <c r="L22" s="26" t="n">
        <f aca="false">E22*((F22*G22)-((1-F22)*ABS(H22)))</f>
        <v>0</v>
      </c>
      <c r="M22" s="43" t="str">
        <f aca="false">IF(AND(I22&gt;=1.5,K22&gt;=1,J22&lt;=0.2),"Promote to Paper Trading",IF(I22&lt;1,"Reject","Refine Parameters"))</f>
        <v>Reject</v>
      </c>
    </row>
    <row r="23" customFormat="false" ht="15" hidden="false" customHeight="false" outlineLevel="0" collapsed="false">
      <c r="B23" s="34" t="n">
        <v>7</v>
      </c>
      <c r="C23" s="47"/>
      <c r="D23" s="48"/>
      <c r="E23" s="38" t="n">
        <v>0</v>
      </c>
      <c r="F23" s="39" t="n">
        <v>0</v>
      </c>
      <c r="G23" s="17" t="n">
        <v>0</v>
      </c>
      <c r="H23" s="17" t="n">
        <v>0</v>
      </c>
      <c r="I23" s="49" t="n">
        <f aca="false">IFERROR((F23*G23)/((1-F23)*ABS(H23)),0)</f>
        <v>0</v>
      </c>
      <c r="J23" s="39" t="n">
        <v>0</v>
      </c>
      <c r="K23" s="50" t="n">
        <v>0</v>
      </c>
      <c r="L23" s="26" t="n">
        <f aca="false">E23*((F23*G23)-((1-F23)*ABS(H23)))</f>
        <v>0</v>
      </c>
      <c r="M23" s="43" t="str">
        <f aca="false">IF(AND(I23&gt;=1.5,K23&gt;=1,J23&lt;=0.2),"Promote to Paper Trading",IF(I23&lt;1,"Reject","Refine Parameters"))</f>
        <v>Reject</v>
      </c>
    </row>
    <row r="24" customFormat="false" ht="15" hidden="false" customHeight="false" outlineLevel="0" collapsed="false">
      <c r="B24" s="34" t="n">
        <v>8</v>
      </c>
      <c r="C24" s="47"/>
      <c r="D24" s="48"/>
      <c r="E24" s="38" t="n">
        <v>0</v>
      </c>
      <c r="F24" s="39" t="n">
        <v>0</v>
      </c>
      <c r="G24" s="17" t="n">
        <v>0</v>
      </c>
      <c r="H24" s="17" t="n">
        <v>0</v>
      </c>
      <c r="I24" s="49" t="n">
        <f aca="false">IFERROR((F24*G24)/((1-F24)*ABS(H24)),0)</f>
        <v>0</v>
      </c>
      <c r="J24" s="39" t="n">
        <v>0</v>
      </c>
      <c r="K24" s="50" t="n">
        <v>0</v>
      </c>
      <c r="L24" s="26" t="n">
        <f aca="false">E24*((F24*G24)-((1-F24)*ABS(H24)))</f>
        <v>0</v>
      </c>
      <c r="M24" s="43" t="str">
        <f aca="false">IF(AND(I24&gt;=1.5,K24&gt;=1,J24&lt;=0.2),"Promote to Paper Trading",IF(I24&lt;1,"Reject","Refine Parameters"))</f>
        <v>Reject</v>
      </c>
    </row>
    <row r="26" customFormat="false" ht="60" hidden="false" customHeight="true" outlineLevel="0" collapsed="false">
      <c r="B26" s="37" t="s">
        <v>214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</row>
  </sheetData>
  <mergeCells count="21">
    <mergeCell ref="B2:L2"/>
    <mergeCell ref="B3:L3"/>
    <mergeCell ref="B5:L5"/>
    <mergeCell ref="C6:H6"/>
    <mergeCell ref="I6:L6"/>
    <mergeCell ref="C7:H7"/>
    <mergeCell ref="I7:L7"/>
    <mergeCell ref="C8:H8"/>
    <mergeCell ref="I8:L8"/>
    <mergeCell ref="C9:H9"/>
    <mergeCell ref="I9:L9"/>
    <mergeCell ref="C10:H10"/>
    <mergeCell ref="I10:L10"/>
    <mergeCell ref="C11:H11"/>
    <mergeCell ref="I11:L11"/>
    <mergeCell ref="C12:H12"/>
    <mergeCell ref="I12:L12"/>
    <mergeCell ref="C13:H13"/>
    <mergeCell ref="I13:L13"/>
    <mergeCell ref="B15:L15"/>
    <mergeCell ref="B26:L26"/>
  </mergeCells>
  <conditionalFormatting sqref="M17:M24">
    <cfRule type="cellIs" priority="2" operator="equal" aboveAverage="0" equalAverage="0" bottom="0" percent="0" rank="0" text="" dxfId="0">
      <formula>"Reject"</formula>
    </cfRule>
    <cfRule type="cellIs" priority="3" operator="equal" aboveAverage="0" equalAverage="0" bottom="0" percent="0" rank="0" text="" dxfId="1">
      <formula>"Promote to Paper Trading"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10" min="9" style="0" width="10"/>
    <col collapsed="false" customWidth="true" hidden="false" outlineLevel="0" max="12" min="11" style="0" width="28"/>
    <col collapsed="false" customWidth="true" hidden="false" outlineLevel="0" max="13" min="13" style="0" width="14"/>
  </cols>
  <sheetData>
    <row r="2" customFormat="false" ht="27.75" hidden="false" customHeight="true" outlineLevel="0" collapsed="false">
      <c r="B2" s="11" t="s">
        <v>215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B3" s="12" t="s">
        <v>16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customFormat="false" ht="19.5" hidden="false" customHeight="true" outlineLevel="0" collapsed="false">
      <c r="B5" s="13" t="s">
        <v>216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customFormat="false" ht="23.85" hidden="false" customHeight="false" outlineLevel="0" collapsed="false">
      <c r="B6" s="15" t="s">
        <v>217</v>
      </c>
      <c r="C6" s="15" t="s">
        <v>218</v>
      </c>
      <c r="D6" s="15" t="s">
        <v>219</v>
      </c>
      <c r="E6" s="15" t="s">
        <v>220</v>
      </c>
      <c r="F6" s="15" t="s">
        <v>221</v>
      </c>
      <c r="G6" s="15" t="s">
        <v>222</v>
      </c>
      <c r="H6" s="15" t="s">
        <v>223</v>
      </c>
      <c r="I6" s="15" t="s">
        <v>224</v>
      </c>
      <c r="J6" s="15" t="s">
        <v>225</v>
      </c>
      <c r="K6" s="15" t="s">
        <v>226</v>
      </c>
      <c r="L6" s="15" t="s">
        <v>227</v>
      </c>
      <c r="M6" s="15" t="s">
        <v>228</v>
      </c>
    </row>
    <row r="7" customFormat="false" ht="15" hidden="false" customHeight="false" outlineLevel="0" collapsed="false">
      <c r="B7" s="47"/>
      <c r="C7" s="51"/>
      <c r="D7" s="48"/>
      <c r="E7" s="48"/>
      <c r="F7" s="52" t="n">
        <v>0</v>
      </c>
      <c r="G7" s="52" t="n">
        <v>0</v>
      </c>
      <c r="H7" s="38" t="n">
        <v>0</v>
      </c>
      <c r="I7" s="17" t="n">
        <v>0</v>
      </c>
      <c r="J7" s="50" t="n">
        <v>0</v>
      </c>
      <c r="K7" s="53"/>
      <c r="L7" s="53"/>
      <c r="M7" s="38" t="n">
        <v>3</v>
      </c>
    </row>
    <row r="8" customFormat="false" ht="15" hidden="false" customHeight="false" outlineLevel="0" collapsed="false">
      <c r="B8" s="47"/>
      <c r="C8" s="51"/>
      <c r="D8" s="48"/>
      <c r="E8" s="48"/>
      <c r="F8" s="52" t="n">
        <v>0</v>
      </c>
      <c r="G8" s="52" t="n">
        <v>0</v>
      </c>
      <c r="H8" s="38" t="n">
        <v>0</v>
      </c>
      <c r="I8" s="17" t="n">
        <v>0</v>
      </c>
      <c r="J8" s="50" t="n">
        <v>0</v>
      </c>
      <c r="K8" s="53"/>
      <c r="L8" s="53"/>
      <c r="M8" s="38" t="n">
        <v>3</v>
      </c>
    </row>
    <row r="9" customFormat="false" ht="15" hidden="false" customHeight="false" outlineLevel="0" collapsed="false">
      <c r="B9" s="47"/>
      <c r="C9" s="51"/>
      <c r="D9" s="48"/>
      <c r="E9" s="48"/>
      <c r="F9" s="52" t="n">
        <v>0</v>
      </c>
      <c r="G9" s="52" t="n">
        <v>0</v>
      </c>
      <c r="H9" s="38" t="n">
        <v>0</v>
      </c>
      <c r="I9" s="17" t="n">
        <v>0</v>
      </c>
      <c r="J9" s="50" t="n">
        <v>0</v>
      </c>
      <c r="K9" s="53"/>
      <c r="L9" s="53"/>
      <c r="M9" s="38" t="n">
        <v>3</v>
      </c>
    </row>
    <row r="10" customFormat="false" ht="15" hidden="false" customHeight="false" outlineLevel="0" collapsed="false">
      <c r="B10" s="47"/>
      <c r="C10" s="51"/>
      <c r="D10" s="48"/>
      <c r="E10" s="48"/>
      <c r="F10" s="52" t="n">
        <v>0</v>
      </c>
      <c r="G10" s="52" t="n">
        <v>0</v>
      </c>
      <c r="H10" s="38" t="n">
        <v>0</v>
      </c>
      <c r="I10" s="17" t="n">
        <v>0</v>
      </c>
      <c r="J10" s="50" t="n">
        <v>0</v>
      </c>
      <c r="K10" s="53"/>
      <c r="L10" s="53"/>
      <c r="M10" s="38" t="n">
        <v>3</v>
      </c>
    </row>
    <row r="11" customFormat="false" ht="15" hidden="false" customHeight="false" outlineLevel="0" collapsed="false">
      <c r="B11" s="47"/>
      <c r="C11" s="51"/>
      <c r="D11" s="48"/>
      <c r="E11" s="48"/>
      <c r="F11" s="52" t="n">
        <v>0</v>
      </c>
      <c r="G11" s="52" t="n">
        <v>0</v>
      </c>
      <c r="H11" s="38" t="n">
        <v>0</v>
      </c>
      <c r="I11" s="17" t="n">
        <v>0</v>
      </c>
      <c r="J11" s="50" t="n">
        <v>0</v>
      </c>
      <c r="K11" s="53"/>
      <c r="L11" s="53"/>
      <c r="M11" s="38" t="n">
        <v>3</v>
      </c>
    </row>
    <row r="12" customFormat="false" ht="15" hidden="false" customHeight="false" outlineLevel="0" collapsed="false">
      <c r="B12" s="47"/>
      <c r="C12" s="51"/>
      <c r="D12" s="48"/>
      <c r="E12" s="48"/>
      <c r="F12" s="52" t="n">
        <v>0</v>
      </c>
      <c r="G12" s="52" t="n">
        <v>0</v>
      </c>
      <c r="H12" s="38" t="n">
        <v>0</v>
      </c>
      <c r="I12" s="17" t="n">
        <v>0</v>
      </c>
      <c r="J12" s="50" t="n">
        <v>0</v>
      </c>
      <c r="K12" s="53"/>
      <c r="L12" s="53"/>
      <c r="M12" s="38" t="n">
        <v>3</v>
      </c>
    </row>
    <row r="13" customFormat="false" ht="15" hidden="false" customHeight="false" outlineLevel="0" collapsed="false">
      <c r="B13" s="47"/>
      <c r="C13" s="51"/>
      <c r="D13" s="48"/>
      <c r="E13" s="48"/>
      <c r="F13" s="52" t="n">
        <v>0</v>
      </c>
      <c r="G13" s="52" t="n">
        <v>0</v>
      </c>
      <c r="H13" s="38" t="n">
        <v>0</v>
      </c>
      <c r="I13" s="17" t="n">
        <v>0</v>
      </c>
      <c r="J13" s="50" t="n">
        <v>0</v>
      </c>
      <c r="K13" s="53"/>
      <c r="L13" s="53"/>
      <c r="M13" s="38" t="n">
        <v>3</v>
      </c>
    </row>
    <row r="14" customFormat="false" ht="15" hidden="false" customHeight="false" outlineLevel="0" collapsed="false">
      <c r="B14" s="47"/>
      <c r="C14" s="51"/>
      <c r="D14" s="48"/>
      <c r="E14" s="48"/>
      <c r="F14" s="52" t="n">
        <v>0</v>
      </c>
      <c r="G14" s="52" t="n">
        <v>0</v>
      </c>
      <c r="H14" s="38" t="n">
        <v>0</v>
      </c>
      <c r="I14" s="17" t="n">
        <v>0</v>
      </c>
      <c r="J14" s="50" t="n">
        <v>0</v>
      </c>
      <c r="K14" s="53"/>
      <c r="L14" s="53"/>
      <c r="M14" s="38" t="n">
        <v>3</v>
      </c>
    </row>
    <row r="15" customFormat="false" ht="15" hidden="false" customHeight="false" outlineLevel="0" collapsed="false">
      <c r="B15" s="47"/>
      <c r="C15" s="51"/>
      <c r="D15" s="48"/>
      <c r="E15" s="48"/>
      <c r="F15" s="52" t="n">
        <v>0</v>
      </c>
      <c r="G15" s="52" t="n">
        <v>0</v>
      </c>
      <c r="H15" s="38" t="n">
        <v>0</v>
      </c>
      <c r="I15" s="17" t="n">
        <v>0</v>
      </c>
      <c r="J15" s="50" t="n">
        <v>0</v>
      </c>
      <c r="K15" s="53"/>
      <c r="L15" s="53"/>
      <c r="M15" s="38" t="n">
        <v>3</v>
      </c>
    </row>
    <row r="16" customFormat="false" ht="15" hidden="false" customHeight="false" outlineLevel="0" collapsed="false">
      <c r="B16" s="47"/>
      <c r="C16" s="51"/>
      <c r="D16" s="48"/>
      <c r="E16" s="48"/>
      <c r="F16" s="52" t="n">
        <v>0</v>
      </c>
      <c r="G16" s="52" t="n">
        <v>0</v>
      </c>
      <c r="H16" s="38" t="n">
        <v>0</v>
      </c>
      <c r="I16" s="17" t="n">
        <v>0</v>
      </c>
      <c r="J16" s="50" t="n">
        <v>0</v>
      </c>
      <c r="K16" s="53"/>
      <c r="L16" s="53"/>
      <c r="M16" s="38" t="n">
        <v>3</v>
      </c>
    </row>
    <row r="17" customFormat="false" ht="15" hidden="false" customHeight="false" outlineLevel="0" collapsed="false">
      <c r="B17" s="47"/>
      <c r="C17" s="51"/>
      <c r="D17" s="48"/>
      <c r="E17" s="48"/>
      <c r="F17" s="52" t="n">
        <v>0</v>
      </c>
      <c r="G17" s="52" t="n">
        <v>0</v>
      </c>
      <c r="H17" s="38" t="n">
        <v>0</v>
      </c>
      <c r="I17" s="17" t="n">
        <v>0</v>
      </c>
      <c r="J17" s="50" t="n">
        <v>0</v>
      </c>
      <c r="K17" s="53"/>
      <c r="L17" s="53"/>
      <c r="M17" s="38" t="n">
        <v>3</v>
      </c>
    </row>
    <row r="18" customFormat="false" ht="15" hidden="false" customHeight="false" outlineLevel="0" collapsed="false">
      <c r="B18" s="47"/>
      <c r="C18" s="51"/>
      <c r="D18" s="48"/>
      <c r="E18" s="48"/>
      <c r="F18" s="52" t="n">
        <v>0</v>
      </c>
      <c r="G18" s="52" t="n">
        <v>0</v>
      </c>
      <c r="H18" s="38" t="n">
        <v>0</v>
      </c>
      <c r="I18" s="17" t="n">
        <v>0</v>
      </c>
      <c r="J18" s="50" t="n">
        <v>0</v>
      </c>
      <c r="K18" s="53"/>
      <c r="L18" s="53"/>
      <c r="M18" s="38" t="n">
        <v>3</v>
      </c>
    </row>
    <row r="19" customFormat="false" ht="15" hidden="false" customHeight="false" outlineLevel="0" collapsed="false">
      <c r="B19" s="47"/>
      <c r="C19" s="51"/>
      <c r="D19" s="48"/>
      <c r="E19" s="48"/>
      <c r="F19" s="52" t="n">
        <v>0</v>
      </c>
      <c r="G19" s="52" t="n">
        <v>0</v>
      </c>
      <c r="H19" s="38" t="n">
        <v>0</v>
      </c>
      <c r="I19" s="17" t="n">
        <v>0</v>
      </c>
      <c r="J19" s="50" t="n">
        <v>0</v>
      </c>
      <c r="K19" s="53"/>
      <c r="L19" s="53"/>
      <c r="M19" s="38" t="n">
        <v>3</v>
      </c>
    </row>
    <row r="20" customFormat="false" ht="15" hidden="false" customHeight="false" outlineLevel="0" collapsed="false">
      <c r="B20" s="47"/>
      <c r="C20" s="51"/>
      <c r="D20" s="48"/>
      <c r="E20" s="48"/>
      <c r="F20" s="52" t="n">
        <v>0</v>
      </c>
      <c r="G20" s="52" t="n">
        <v>0</v>
      </c>
      <c r="H20" s="38" t="n">
        <v>0</v>
      </c>
      <c r="I20" s="17" t="n">
        <v>0</v>
      </c>
      <c r="J20" s="50" t="n">
        <v>0</v>
      </c>
      <c r="K20" s="53"/>
      <c r="L20" s="53"/>
      <c r="M20" s="38" t="n">
        <v>3</v>
      </c>
    </row>
    <row r="21" customFormat="false" ht="15" hidden="false" customHeight="false" outlineLevel="0" collapsed="false">
      <c r="B21" s="47"/>
      <c r="C21" s="51"/>
      <c r="D21" s="48"/>
      <c r="E21" s="48"/>
      <c r="F21" s="52" t="n">
        <v>0</v>
      </c>
      <c r="G21" s="52" t="n">
        <v>0</v>
      </c>
      <c r="H21" s="38" t="n">
        <v>0</v>
      </c>
      <c r="I21" s="17" t="n">
        <v>0</v>
      </c>
      <c r="J21" s="50" t="n">
        <v>0</v>
      </c>
      <c r="K21" s="53"/>
      <c r="L21" s="53"/>
      <c r="M21" s="38" t="n">
        <v>3</v>
      </c>
    </row>
    <row r="23" customFormat="false" ht="19.5" hidden="false" customHeight="true" outlineLevel="0" collapsed="false">
      <c r="B23" s="21" t="s">
        <v>229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5" hidden="false" customHeight="false" outlineLevel="0" collapsed="false">
      <c r="B24" s="40" t="s">
        <v>230</v>
      </c>
      <c r="D24" s="41" t="n">
        <f aca="false">COUNTIF(D7:D21,"&lt;&gt;")</f>
        <v>0</v>
      </c>
    </row>
    <row r="25" customFormat="false" ht="15" hidden="false" customHeight="false" outlineLevel="0" collapsed="false">
      <c r="B25" s="40" t="s">
        <v>206</v>
      </c>
      <c r="D25" s="54" t="n">
        <f aca="false">IFERROR(COUNTIF(I7:I21,"&gt;0")/COUNTIF(I7:I21,"&lt;&gt;0"),0)</f>
        <v>0</v>
      </c>
    </row>
    <row r="26" customFormat="false" ht="15" hidden="false" customHeight="false" outlineLevel="0" collapsed="false">
      <c r="B26" s="40" t="s">
        <v>231</v>
      </c>
      <c r="D26" s="18" t="n">
        <f aca="false">IFERROR(AVERAGEIF(I7:I21,"&gt;0"),0)</f>
        <v>0</v>
      </c>
    </row>
    <row r="27" customFormat="false" ht="15" hidden="false" customHeight="false" outlineLevel="0" collapsed="false">
      <c r="B27" s="40" t="s">
        <v>232</v>
      </c>
      <c r="D27" s="18" t="n">
        <f aca="false">IFERROR(AVERAGEIF(I7:I21,"&lt;0"),0)</f>
        <v>0</v>
      </c>
    </row>
    <row r="28" customFormat="false" ht="15" hidden="false" customHeight="false" outlineLevel="0" collapsed="false">
      <c r="B28" s="40" t="s">
        <v>233</v>
      </c>
      <c r="D28" s="55" t="n">
        <f aca="false">IFERROR(AVERAGE(J7:J21),0)</f>
        <v>0</v>
      </c>
    </row>
    <row r="29" customFormat="false" ht="15" hidden="false" customHeight="false" outlineLevel="0" collapsed="false">
      <c r="B29" s="40" t="s">
        <v>234</v>
      </c>
      <c r="D29" s="18" t="n">
        <f aca="false">SUM(I7:I21)</f>
        <v>0</v>
      </c>
    </row>
    <row r="30" customFormat="false" ht="15" hidden="false" customHeight="false" outlineLevel="0" collapsed="false">
      <c r="B30" s="40" t="s">
        <v>235</v>
      </c>
      <c r="D30" s="56" t="n">
        <f aca="false">IFERROR(AVERAGE(M7:M21),0)</f>
        <v>3</v>
      </c>
    </row>
    <row r="32" customFormat="false" ht="19.5" hidden="false" customHeight="true" outlineLevel="0" collapsed="false">
      <c r="B32" s="8" t="s">
        <v>236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customFormat="false" ht="24" hidden="false" customHeight="true" outlineLevel="0" collapsed="false">
      <c r="B33" s="57" t="s">
        <v>237</v>
      </c>
      <c r="C33" s="57"/>
      <c r="D33" s="57"/>
      <c r="E33" s="58"/>
      <c r="F33" s="58"/>
      <c r="G33" s="58"/>
      <c r="H33" s="58"/>
      <c r="I33" s="58"/>
      <c r="J33" s="58"/>
      <c r="K33" s="58"/>
      <c r="L33" s="58"/>
      <c r="M33" s="58"/>
    </row>
    <row r="34" customFormat="false" ht="24" hidden="false" customHeight="true" outlineLevel="0" collapsed="false">
      <c r="B34" s="57" t="s">
        <v>238</v>
      </c>
      <c r="C34" s="57"/>
      <c r="D34" s="57"/>
      <c r="E34" s="58"/>
      <c r="F34" s="58"/>
      <c r="G34" s="58"/>
      <c r="H34" s="58"/>
      <c r="I34" s="58"/>
      <c r="J34" s="58"/>
      <c r="K34" s="58"/>
      <c r="L34" s="58"/>
      <c r="M34" s="58"/>
    </row>
    <row r="35" customFormat="false" ht="24" hidden="false" customHeight="true" outlineLevel="0" collapsed="false">
      <c r="B35" s="57" t="s">
        <v>239</v>
      </c>
      <c r="C35" s="57"/>
      <c r="D35" s="57"/>
      <c r="E35" s="58"/>
      <c r="F35" s="58"/>
      <c r="G35" s="58"/>
      <c r="H35" s="58"/>
      <c r="I35" s="58"/>
      <c r="J35" s="58"/>
      <c r="K35" s="58"/>
      <c r="L35" s="58"/>
      <c r="M35" s="58"/>
    </row>
    <row r="36" customFormat="false" ht="24" hidden="false" customHeight="true" outlineLevel="0" collapsed="false">
      <c r="B36" s="57" t="s">
        <v>240</v>
      </c>
      <c r="C36" s="57"/>
      <c r="D36" s="57"/>
      <c r="E36" s="58"/>
      <c r="F36" s="58"/>
      <c r="G36" s="58"/>
      <c r="H36" s="58"/>
      <c r="I36" s="58"/>
      <c r="J36" s="58"/>
      <c r="K36" s="58"/>
      <c r="L36" s="58"/>
      <c r="M36" s="58"/>
    </row>
    <row r="37" customFormat="false" ht="24" hidden="false" customHeight="true" outlineLevel="0" collapsed="false">
      <c r="B37" s="57" t="s">
        <v>241</v>
      </c>
      <c r="C37" s="57"/>
      <c r="D37" s="57"/>
      <c r="E37" s="58"/>
      <c r="F37" s="58"/>
      <c r="G37" s="58"/>
      <c r="H37" s="58"/>
      <c r="I37" s="58"/>
      <c r="J37" s="58"/>
      <c r="K37" s="58"/>
      <c r="L37" s="58"/>
      <c r="M37" s="58"/>
    </row>
  </sheetData>
  <mergeCells count="15">
    <mergeCell ref="B2:M2"/>
    <mergeCell ref="B3:M3"/>
    <mergeCell ref="B5:M5"/>
    <mergeCell ref="B23:M23"/>
    <mergeCell ref="B32:M32"/>
    <mergeCell ref="B33:D33"/>
    <mergeCell ref="E33:M33"/>
    <mergeCell ref="B34:D34"/>
    <mergeCell ref="E34:M34"/>
    <mergeCell ref="B35:D35"/>
    <mergeCell ref="E35:M35"/>
    <mergeCell ref="B36:D36"/>
    <mergeCell ref="E36:M36"/>
    <mergeCell ref="B37:D37"/>
    <mergeCell ref="E37:M37"/>
  </mergeCells>
  <conditionalFormatting sqref="I7:I2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E7:E21" type="list">
      <formula1>"Long,Short"</formula1>
      <formula2>0</formula2>
    </dataValidation>
    <dataValidation allowBlank="true" errorStyle="stop" operator="between" showDropDown="false" showErrorMessage="false" showInputMessage="false" sqref="M7:M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27.75" hidden="false" customHeight="true" outlineLevel="0" collapsed="false">
      <c r="B2" s="11" t="s">
        <v>242</v>
      </c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B3" s="12" t="s">
        <v>18</v>
      </c>
      <c r="C3" s="12"/>
      <c r="D3" s="12"/>
      <c r="E3" s="12"/>
      <c r="F3" s="12"/>
      <c r="G3" s="12"/>
      <c r="H3" s="12"/>
    </row>
    <row r="5" customFormat="false" ht="19.5" hidden="false" customHeight="true" outlineLevel="0" collapsed="false">
      <c r="B5" s="13" t="s">
        <v>243</v>
      </c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B6" s="22" t="s">
        <v>244</v>
      </c>
      <c r="C6" s="15" t="s">
        <v>245</v>
      </c>
      <c r="D6" s="15" t="s">
        <v>246</v>
      </c>
      <c r="E6" s="15" t="s">
        <v>247</v>
      </c>
      <c r="F6" s="15" t="s">
        <v>248</v>
      </c>
      <c r="G6" s="15" t="s">
        <v>249</v>
      </c>
      <c r="H6" s="15" t="s">
        <v>250</v>
      </c>
    </row>
    <row r="7" customFormat="false" ht="15" hidden="false" customHeight="false" outlineLevel="0" collapsed="false">
      <c r="B7" s="16" t="s">
        <v>251</v>
      </c>
      <c r="C7" s="17" t="n">
        <v>12000</v>
      </c>
      <c r="D7" s="17" t="n">
        <v>13500</v>
      </c>
      <c r="E7" s="17" t="n">
        <v>14200</v>
      </c>
      <c r="F7" s="17" t="n">
        <v>15800</v>
      </c>
      <c r="G7" s="26" t="n">
        <f aca="false">F7-C7</f>
        <v>3800</v>
      </c>
      <c r="H7" s="31" t="n">
        <f aca="false">IFERROR(F7/F15,0)</f>
        <v>0.0463479026107363</v>
      </c>
    </row>
    <row r="8" customFormat="false" ht="15" hidden="false" customHeight="false" outlineLevel="0" collapsed="false">
      <c r="B8" s="16" t="s">
        <v>252</v>
      </c>
      <c r="C8" s="17" t="n">
        <v>18000</v>
      </c>
      <c r="D8" s="17" t="n">
        <v>18200</v>
      </c>
      <c r="E8" s="17" t="n">
        <v>18900</v>
      </c>
      <c r="F8" s="17" t="n">
        <v>19500</v>
      </c>
      <c r="G8" s="26" t="n">
        <f aca="false">F8-C8</f>
        <v>1500</v>
      </c>
      <c r="H8" s="31" t="n">
        <f aca="false">IFERROR(F8/F15,0)</f>
        <v>0.05720152537401</v>
      </c>
    </row>
    <row r="9" customFormat="false" ht="15" hidden="false" customHeight="false" outlineLevel="0" collapsed="false">
      <c r="B9" s="16" t="s">
        <v>253</v>
      </c>
      <c r="C9" s="17" t="n">
        <v>45000</v>
      </c>
      <c r="D9" s="17" t="n">
        <v>48500</v>
      </c>
      <c r="E9" s="17" t="n">
        <v>52000</v>
      </c>
      <c r="F9" s="17" t="n">
        <v>58200</v>
      </c>
      <c r="G9" s="26" t="n">
        <f aca="false">F9-C9</f>
        <v>13200</v>
      </c>
      <c r="H9" s="31" t="n">
        <f aca="false">IFERROR(F9/F15,0)</f>
        <v>0.170724552654737</v>
      </c>
    </row>
    <row r="10" customFormat="false" ht="15" hidden="false" customHeight="false" outlineLevel="0" collapsed="false">
      <c r="B10" s="16" t="s">
        <v>254</v>
      </c>
      <c r="C10" s="17" t="n">
        <v>85000</v>
      </c>
      <c r="D10" s="17" t="n">
        <v>89200</v>
      </c>
      <c r="E10" s="17" t="n">
        <v>94500</v>
      </c>
      <c r="F10" s="17" t="n">
        <v>101300</v>
      </c>
      <c r="G10" s="26" t="n">
        <f aca="false">F10-C10</f>
        <v>16300</v>
      </c>
      <c r="H10" s="31" t="n">
        <f aca="false">IFERROR(F10/F15,0)</f>
        <v>0.297154590789088</v>
      </c>
    </row>
    <row r="11" customFormat="false" ht="15" hidden="false" customHeight="false" outlineLevel="0" collapsed="false">
      <c r="B11" s="16" t="s">
        <v>255</v>
      </c>
      <c r="C11" s="17" t="n">
        <v>22000</v>
      </c>
      <c r="D11" s="17" t="n">
        <v>24500</v>
      </c>
      <c r="E11" s="17" t="n">
        <v>21800</v>
      </c>
      <c r="F11" s="17" t="n">
        <v>26400</v>
      </c>
      <c r="G11" s="26" t="n">
        <f aca="false">F11-C11</f>
        <v>4400</v>
      </c>
      <c r="H11" s="31" t="n">
        <f aca="false">IFERROR(F11/F15,0)</f>
        <v>0.0774420651217366</v>
      </c>
    </row>
    <row r="12" customFormat="false" ht="15" hidden="false" customHeight="false" outlineLevel="0" collapsed="false">
      <c r="B12" s="16" t="s">
        <v>256</v>
      </c>
      <c r="C12" s="17" t="n">
        <v>95000</v>
      </c>
      <c r="D12" s="17" t="n">
        <v>96200</v>
      </c>
      <c r="E12" s="17" t="n">
        <v>97500</v>
      </c>
      <c r="F12" s="17" t="n">
        <v>98800</v>
      </c>
      <c r="G12" s="26" t="n">
        <f aca="false">F12-C12</f>
        <v>3800</v>
      </c>
      <c r="H12" s="31" t="n">
        <f aca="false">IFERROR(F12/F15,0)</f>
        <v>0.289821061894984</v>
      </c>
    </row>
    <row r="13" customFormat="false" ht="15" hidden="false" customHeight="false" outlineLevel="0" collapsed="false">
      <c r="B13" s="16" t="s">
        <v>257</v>
      </c>
      <c r="C13" s="17" t="n">
        <v>18000</v>
      </c>
      <c r="D13" s="17" t="n">
        <v>17200</v>
      </c>
      <c r="E13" s="17" t="n">
        <v>16400</v>
      </c>
      <c r="F13" s="17" t="n">
        <v>15600</v>
      </c>
      <c r="G13" s="26" t="n">
        <f aca="false">F13-C13</f>
        <v>-2400</v>
      </c>
      <c r="H13" s="31" t="n">
        <f aca="false">IFERROR(F13/F15,0)</f>
        <v>0.045761220299208</v>
      </c>
    </row>
    <row r="14" customFormat="false" ht="15" hidden="false" customHeight="false" outlineLevel="0" collapsed="false">
      <c r="B14" s="16" t="s">
        <v>258</v>
      </c>
      <c r="C14" s="17" t="n">
        <v>5000</v>
      </c>
      <c r="D14" s="17" t="n">
        <v>5100</v>
      </c>
      <c r="E14" s="17" t="n">
        <v>5200</v>
      </c>
      <c r="F14" s="17" t="n">
        <v>5300</v>
      </c>
      <c r="G14" s="26" t="n">
        <f aca="false">F14-C14</f>
        <v>300</v>
      </c>
      <c r="H14" s="31" t="n">
        <f aca="false">IFERROR(F14/F15,0)</f>
        <v>0.0155470812555001</v>
      </c>
    </row>
    <row r="15" customFormat="false" ht="15" hidden="false" customHeight="false" outlineLevel="0" collapsed="false">
      <c r="B15" s="19" t="s">
        <v>259</v>
      </c>
      <c r="C15" s="20" t="n">
        <f aca="false">SUM(C7:C14)</f>
        <v>300000</v>
      </c>
      <c r="D15" s="20" t="n">
        <f aca="false">SUM(D7:D14)</f>
        <v>312400</v>
      </c>
      <c r="E15" s="20" t="n">
        <f aca="false">SUM(E7:E14)</f>
        <v>320500</v>
      </c>
      <c r="F15" s="20" t="n">
        <f aca="false">SUM(F7:F14)</f>
        <v>340900</v>
      </c>
      <c r="G15" s="20" t="n">
        <f aca="false">F15-C15</f>
        <v>40900</v>
      </c>
      <c r="H15" s="36"/>
    </row>
    <row r="17" customFormat="false" ht="19.5" hidden="false" customHeight="true" outlineLevel="0" collapsed="false">
      <c r="B17" s="21" t="s">
        <v>260</v>
      </c>
      <c r="C17" s="21"/>
      <c r="D17" s="21"/>
      <c r="E17" s="21"/>
      <c r="F17" s="21"/>
      <c r="G17" s="21"/>
      <c r="H17" s="21"/>
    </row>
    <row r="18" customFormat="false" ht="15" hidden="false" customHeight="false" outlineLevel="0" collapsed="false">
      <c r="B18" s="22" t="s">
        <v>261</v>
      </c>
      <c r="C18" s="15" t="s">
        <v>245</v>
      </c>
      <c r="D18" s="15" t="s">
        <v>246</v>
      </c>
      <c r="E18" s="15" t="s">
        <v>247</v>
      </c>
      <c r="F18" s="15" t="s">
        <v>248</v>
      </c>
      <c r="G18" s="15" t="s">
        <v>249</v>
      </c>
      <c r="H18" s="15" t="s">
        <v>262</v>
      </c>
    </row>
    <row r="19" customFormat="false" ht="15" hidden="false" customHeight="false" outlineLevel="0" collapsed="false">
      <c r="B19" s="16" t="s">
        <v>263</v>
      </c>
      <c r="C19" s="17" t="n">
        <v>280000</v>
      </c>
      <c r="D19" s="17" t="n">
        <v>278500</v>
      </c>
      <c r="E19" s="17" t="n">
        <v>276900</v>
      </c>
      <c r="F19" s="17" t="n">
        <v>275200</v>
      </c>
      <c r="G19" s="26" t="n">
        <f aca="false">F19-C19</f>
        <v>-4800</v>
      </c>
      <c r="H19" s="31" t="n">
        <f aca="false">IFERROR(F19/F24,0)</f>
        <v>0.876433121019108</v>
      </c>
    </row>
    <row r="20" customFormat="false" ht="15" hidden="false" customHeight="false" outlineLevel="0" collapsed="false">
      <c r="B20" s="16" t="s">
        <v>112</v>
      </c>
      <c r="C20" s="17" t="n">
        <v>14500</v>
      </c>
      <c r="D20" s="17" t="n">
        <v>13200</v>
      </c>
      <c r="E20" s="17" t="n">
        <v>11900</v>
      </c>
      <c r="F20" s="17" t="n">
        <v>10500</v>
      </c>
      <c r="G20" s="26" t="n">
        <f aca="false">F20-C20</f>
        <v>-4000</v>
      </c>
      <c r="H20" s="31" t="n">
        <f aca="false">IFERROR(F20/F24,0)</f>
        <v>0.0334394904458599</v>
      </c>
    </row>
    <row r="21" customFormat="false" ht="15" hidden="false" customHeight="false" outlineLevel="0" collapsed="false">
      <c r="B21" s="16" t="s">
        <v>79</v>
      </c>
      <c r="C21" s="17" t="n">
        <v>22000</v>
      </c>
      <c r="D21" s="17" t="n">
        <v>21200</v>
      </c>
      <c r="E21" s="17" t="n">
        <v>20400</v>
      </c>
      <c r="F21" s="17" t="n">
        <v>19500</v>
      </c>
      <c r="G21" s="26" t="n">
        <f aca="false">F21-C21</f>
        <v>-2500</v>
      </c>
      <c r="H21" s="31" t="n">
        <f aca="false">IFERROR(F21/F24,0)</f>
        <v>0.0621019108280255</v>
      </c>
    </row>
    <row r="22" customFormat="false" ht="15" hidden="false" customHeight="false" outlineLevel="0" collapsed="false">
      <c r="B22" s="16" t="s">
        <v>264</v>
      </c>
      <c r="C22" s="17" t="n">
        <v>11700</v>
      </c>
      <c r="D22" s="17" t="n">
        <v>9800</v>
      </c>
      <c r="E22" s="17" t="n">
        <v>8200</v>
      </c>
      <c r="F22" s="17" t="n">
        <v>6400</v>
      </c>
      <c r="G22" s="26" t="n">
        <f aca="false">F22-C22</f>
        <v>-5300</v>
      </c>
      <c r="H22" s="31" t="n">
        <f aca="false">IFERROR(F22/F24,0)</f>
        <v>0.0203821656050955</v>
      </c>
    </row>
    <row r="23" customFormat="false" ht="15" hidden="false" customHeight="false" outlineLevel="0" collapsed="false">
      <c r="B23" s="16" t="s">
        <v>80</v>
      </c>
      <c r="C23" s="17" t="n">
        <v>5000</v>
      </c>
      <c r="D23" s="17" t="n">
        <v>4200</v>
      </c>
      <c r="E23" s="17" t="n">
        <v>3300</v>
      </c>
      <c r="F23" s="17" t="n">
        <v>2400</v>
      </c>
      <c r="G23" s="26" t="n">
        <f aca="false">F23-C23</f>
        <v>-2600</v>
      </c>
      <c r="H23" s="31" t="n">
        <f aca="false">IFERROR(F23/F24,0)</f>
        <v>0.00764331210191083</v>
      </c>
    </row>
    <row r="24" customFormat="false" ht="15" hidden="false" customHeight="false" outlineLevel="0" collapsed="false">
      <c r="B24" s="19" t="s">
        <v>265</v>
      </c>
      <c r="C24" s="20" t="n">
        <f aca="false">SUM(C19:C23)</f>
        <v>333200</v>
      </c>
      <c r="D24" s="20" t="n">
        <f aca="false">SUM(D19:D23)</f>
        <v>326900</v>
      </c>
      <c r="E24" s="20" t="n">
        <f aca="false">SUM(E19:E23)</f>
        <v>320700</v>
      </c>
      <c r="F24" s="20" t="n">
        <f aca="false">SUM(F19:F23)</f>
        <v>314000</v>
      </c>
      <c r="G24" s="20" t="n">
        <f aca="false">F24-C24</f>
        <v>-19200</v>
      </c>
      <c r="H24" s="36"/>
    </row>
    <row r="26" customFormat="false" ht="19.5" hidden="false" customHeight="true" outlineLevel="0" collapsed="false">
      <c r="B26" s="8" t="s">
        <v>266</v>
      </c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B27" s="22" t="s">
        <v>267</v>
      </c>
      <c r="C27" s="18" t="n">
        <f aca="false">C15-C24</f>
        <v>-33200</v>
      </c>
      <c r="D27" s="18" t="n">
        <f aca="false">D15-D24</f>
        <v>-14500</v>
      </c>
      <c r="E27" s="18" t="n">
        <f aca="false">E15-E24</f>
        <v>-200</v>
      </c>
      <c r="F27" s="18" t="n">
        <f aca="false">F15-F24</f>
        <v>26900</v>
      </c>
      <c r="G27" s="18" t="n">
        <f aca="false">F27-C27</f>
        <v>60100</v>
      </c>
    </row>
    <row r="28" customFormat="false" ht="15" hidden="false" customHeight="false" outlineLevel="0" collapsed="false">
      <c r="B28" s="30" t="s">
        <v>268</v>
      </c>
      <c r="F28" s="31" t="n">
        <f aca="false">IFERROR(F24/F15,0)</f>
        <v>0.921091229099443</v>
      </c>
    </row>
    <row r="29" customFormat="false" ht="15" hidden="false" customHeight="false" outlineLevel="0" collapsed="false">
      <c r="B29" s="30" t="s">
        <v>269</v>
      </c>
      <c r="F29" s="31" t="n">
        <f aca="false">IFERROR((F7+F8)/F24,0)</f>
        <v>0.112420382165605</v>
      </c>
    </row>
  </sheetData>
  <mergeCells count="5">
    <mergeCell ref="B2:H2"/>
    <mergeCell ref="B3:H3"/>
    <mergeCell ref="B5:H5"/>
    <mergeCell ref="B17:H17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9" min="3" style="0" width="16"/>
  </cols>
  <sheetData>
    <row r="2" customFormat="false" ht="27.75" hidden="false" customHeight="true" outlineLevel="0" collapsed="false">
      <c r="B2" s="11" t="s">
        <v>270</v>
      </c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B3" s="12" t="s">
        <v>20</v>
      </c>
      <c r="C3" s="12"/>
      <c r="D3" s="12"/>
      <c r="E3" s="12"/>
      <c r="F3" s="12"/>
      <c r="G3" s="12"/>
      <c r="H3" s="12"/>
      <c r="I3" s="12"/>
    </row>
    <row r="5" customFormat="false" ht="19.5" hidden="false" customHeight="true" outlineLevel="0" collapsed="false">
      <c r="B5" s="13" t="s">
        <v>130</v>
      </c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B6" s="16" t="s">
        <v>271</v>
      </c>
      <c r="C6" s="17" t="n">
        <v>150000</v>
      </c>
    </row>
    <row r="7" customFormat="false" ht="15" hidden="false" customHeight="false" outlineLevel="0" collapsed="false">
      <c r="B7" s="16" t="s">
        <v>272</v>
      </c>
      <c r="C7" s="17" t="n">
        <v>60000</v>
      </c>
    </row>
    <row r="8" customFormat="false" ht="15" hidden="false" customHeight="false" outlineLevel="0" collapsed="false">
      <c r="B8" s="16" t="s">
        <v>273</v>
      </c>
      <c r="C8" s="17" t="n">
        <v>45000</v>
      </c>
    </row>
    <row r="9" customFormat="false" ht="15" hidden="false" customHeight="false" outlineLevel="0" collapsed="false">
      <c r="B9" s="16" t="s">
        <v>274</v>
      </c>
      <c r="C9" s="39" t="n">
        <v>0.07</v>
      </c>
    </row>
    <row r="10" customFormat="false" ht="15" hidden="false" customHeight="false" outlineLevel="0" collapsed="false">
      <c r="B10" s="16" t="s">
        <v>275</v>
      </c>
      <c r="C10" s="39" t="n">
        <v>0.028</v>
      </c>
    </row>
    <row r="11" customFormat="false" ht="15" hidden="false" customHeight="false" outlineLevel="0" collapsed="false">
      <c r="B11" s="16" t="s">
        <v>276</v>
      </c>
      <c r="C11" s="39" t="n">
        <v>0.04</v>
      </c>
    </row>
    <row r="12" customFormat="false" ht="15" hidden="false" customHeight="false" outlineLevel="0" collapsed="false">
      <c r="B12" s="16" t="s">
        <v>277</v>
      </c>
      <c r="C12" s="39" t="n">
        <v>0.04</v>
      </c>
    </row>
    <row r="14" customFormat="false" ht="19.5" hidden="false" customHeight="true" outlineLevel="0" collapsed="false">
      <c r="B14" s="8" t="s">
        <v>278</v>
      </c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B15" s="40" t="s">
        <v>279</v>
      </c>
      <c r="C15" s="18" t="n">
        <f aca="false">C8/C12</f>
        <v>1125000</v>
      </c>
    </row>
    <row r="16" customFormat="false" ht="15" hidden="false" customHeight="false" outlineLevel="0" collapsed="false">
      <c r="B16" s="40" t="s">
        <v>280</v>
      </c>
      <c r="C16" s="18" t="n">
        <f aca="false">C15-C7</f>
        <v>1065000</v>
      </c>
    </row>
    <row r="18" customFormat="false" ht="19.5" hidden="false" customHeight="true" outlineLevel="0" collapsed="false">
      <c r="B18" s="21" t="s">
        <v>281</v>
      </c>
      <c r="C18" s="21"/>
      <c r="D18" s="21"/>
      <c r="E18" s="21"/>
      <c r="F18" s="21"/>
      <c r="G18" s="21"/>
      <c r="H18" s="21"/>
      <c r="I18" s="21"/>
    </row>
    <row r="19" customFormat="false" ht="15" hidden="false" customHeight="false" outlineLevel="0" collapsed="false">
      <c r="B19" s="15" t="s">
        <v>149</v>
      </c>
      <c r="C19" s="15" t="s">
        <v>151</v>
      </c>
      <c r="D19" s="15" t="s">
        <v>282</v>
      </c>
      <c r="E19" s="15" t="s">
        <v>153</v>
      </c>
      <c r="F19" s="15" t="s">
        <v>154</v>
      </c>
      <c r="G19" s="15" t="s">
        <v>283</v>
      </c>
      <c r="H19" s="15" t="s">
        <v>284</v>
      </c>
    </row>
    <row r="20" customFormat="false" ht="15" hidden="false" customHeight="false" outlineLevel="0" collapsed="false">
      <c r="B20" s="34" t="n">
        <v>1</v>
      </c>
      <c r="C20" s="26" t="n">
        <f aca="false">$C$7</f>
        <v>60000</v>
      </c>
      <c r="D20" s="26" t="n">
        <f aca="false">$C$9*(1+$C$13)^(B20-1)</f>
        <v>0.07</v>
      </c>
      <c r="E20" s="26" t="n">
        <f aca="false">(C20+D20/2)*$C$10</f>
        <v>1680.00098</v>
      </c>
      <c r="F20" s="18" t="n">
        <f aca="false">C20+D20+E20</f>
        <v>61680.07098</v>
      </c>
      <c r="G20" s="26" t="n">
        <f aca="false">$C$15*(1+$C$11)^(B20-1)</f>
        <v>1125000</v>
      </c>
      <c r="H20" s="43" t="str">
        <f aca="false">IF(F20&gt;=G20,"Yes","No")</f>
        <v>No</v>
      </c>
    </row>
    <row r="21" customFormat="false" ht="15" hidden="false" customHeight="false" outlineLevel="0" collapsed="false">
      <c r="B21" s="34" t="n">
        <v>2</v>
      </c>
      <c r="C21" s="26" t="n">
        <f aca="false">F20</f>
        <v>61680.07098</v>
      </c>
      <c r="D21" s="26" t="n">
        <f aca="false">$C$9*(1+$C$13)^(B21-1)</f>
        <v>0.07</v>
      </c>
      <c r="E21" s="26" t="n">
        <f aca="false">(C21+D21/2)*$C$10</f>
        <v>1727.04296744</v>
      </c>
      <c r="F21" s="18" t="n">
        <f aca="false">C21+D21+E21</f>
        <v>63407.18394744</v>
      </c>
      <c r="G21" s="26" t="n">
        <f aca="false">$C$15*(1+$C$11)^(B21-1)</f>
        <v>1170000</v>
      </c>
      <c r="H21" s="43" t="str">
        <f aca="false">IF(F21&gt;=G21,"Yes","No")</f>
        <v>No</v>
      </c>
    </row>
    <row r="22" customFormat="false" ht="15" hidden="false" customHeight="false" outlineLevel="0" collapsed="false">
      <c r="B22" s="34" t="n">
        <v>3</v>
      </c>
      <c r="C22" s="26" t="n">
        <f aca="false">F21</f>
        <v>63407.18394744</v>
      </c>
      <c r="D22" s="26" t="n">
        <f aca="false">$C$9*(1+$C$13)^(B22-1)</f>
        <v>0.07</v>
      </c>
      <c r="E22" s="26" t="n">
        <f aca="false">(C22+D22/2)*$C$10</f>
        <v>1775.40213052832</v>
      </c>
      <c r="F22" s="18" t="n">
        <f aca="false">C22+D22+E22</f>
        <v>65182.6560779683</v>
      </c>
      <c r="G22" s="26" t="n">
        <f aca="false">$C$15*(1+$C$11)^(B22-1)</f>
        <v>1216800</v>
      </c>
      <c r="H22" s="43" t="str">
        <f aca="false">IF(F22&gt;=G22,"Yes","No")</f>
        <v>No</v>
      </c>
    </row>
    <row r="23" customFormat="false" ht="15" hidden="false" customHeight="false" outlineLevel="0" collapsed="false">
      <c r="B23" s="34" t="n">
        <v>4</v>
      </c>
      <c r="C23" s="26" t="n">
        <f aca="false">F22</f>
        <v>65182.6560779683</v>
      </c>
      <c r="D23" s="26" t="n">
        <f aca="false">$C$9*(1+$C$13)^(B23-1)</f>
        <v>0.07</v>
      </c>
      <c r="E23" s="26" t="n">
        <f aca="false">(C23+D23/2)*$C$10</f>
        <v>1825.11535018311</v>
      </c>
      <c r="F23" s="18" t="n">
        <f aca="false">C23+D23+E23</f>
        <v>67007.8414281514</v>
      </c>
      <c r="G23" s="26" t="n">
        <f aca="false">$C$15*(1+$C$11)^(B23-1)</f>
        <v>1265472</v>
      </c>
      <c r="H23" s="43" t="str">
        <f aca="false">IF(F23&gt;=G23,"Yes","No")</f>
        <v>No</v>
      </c>
    </row>
    <row r="24" customFormat="false" ht="15" hidden="false" customHeight="false" outlineLevel="0" collapsed="false">
      <c r="B24" s="34" t="n">
        <v>5</v>
      </c>
      <c r="C24" s="26" t="n">
        <f aca="false">F23</f>
        <v>67007.8414281514</v>
      </c>
      <c r="D24" s="26" t="n">
        <f aca="false">$C$9*(1+$C$13)^(B24-1)</f>
        <v>0.07</v>
      </c>
      <c r="E24" s="26" t="n">
        <f aca="false">(C24+D24/2)*$C$10</f>
        <v>1876.22053998824</v>
      </c>
      <c r="F24" s="18" t="n">
        <f aca="false">C24+D24+E24</f>
        <v>68884.1319681397</v>
      </c>
      <c r="G24" s="26" t="n">
        <f aca="false">$C$15*(1+$C$11)^(B24-1)</f>
        <v>1316090.88</v>
      </c>
      <c r="H24" s="43" t="str">
        <f aca="false">IF(F24&gt;=G24,"Yes","No")</f>
        <v>No</v>
      </c>
    </row>
    <row r="25" customFormat="false" ht="15" hidden="false" customHeight="false" outlineLevel="0" collapsed="false">
      <c r="B25" s="34" t="n">
        <v>6</v>
      </c>
      <c r="C25" s="26" t="n">
        <f aca="false">F24</f>
        <v>68884.1319681397</v>
      </c>
      <c r="D25" s="26" t="n">
        <f aca="false">$C$9*(1+$C$13)^(B25-1)</f>
        <v>0.07</v>
      </c>
      <c r="E25" s="26" t="n">
        <f aca="false">(C25+D25/2)*$C$10</f>
        <v>1928.75667510791</v>
      </c>
      <c r="F25" s="18" t="n">
        <f aca="false">C25+D25+E25</f>
        <v>70812.9586432476</v>
      </c>
      <c r="G25" s="26" t="n">
        <f aca="false">$C$15*(1+$C$11)^(B25-1)</f>
        <v>1368734.5152</v>
      </c>
      <c r="H25" s="43" t="str">
        <f aca="false">IF(F25&gt;=G25,"Yes","No")</f>
        <v>No</v>
      </c>
    </row>
    <row r="26" customFormat="false" ht="15" hidden="false" customHeight="false" outlineLevel="0" collapsed="false">
      <c r="B26" s="34" t="n">
        <v>7</v>
      </c>
      <c r="C26" s="26" t="n">
        <f aca="false">F25</f>
        <v>70812.9586432476</v>
      </c>
      <c r="D26" s="26" t="n">
        <f aca="false">$C$9*(1+$C$13)^(B26-1)</f>
        <v>0.07</v>
      </c>
      <c r="E26" s="26" t="n">
        <f aca="false">(C26+D26/2)*$C$10</f>
        <v>1982.76382201093</v>
      </c>
      <c r="F26" s="18" t="n">
        <f aca="false">C26+D26+E26</f>
        <v>72795.7924652585</v>
      </c>
      <c r="G26" s="26" t="n">
        <f aca="false">$C$15*(1+$C$11)^(B26-1)</f>
        <v>1423483.895808</v>
      </c>
      <c r="H26" s="43" t="str">
        <f aca="false">IF(F26&gt;=G26,"Yes","No")</f>
        <v>No</v>
      </c>
    </row>
    <row r="27" customFormat="false" ht="15" hidden="false" customHeight="false" outlineLevel="0" collapsed="false">
      <c r="B27" s="34" t="n">
        <v>8</v>
      </c>
      <c r="C27" s="26" t="n">
        <f aca="false">F26</f>
        <v>72795.7924652585</v>
      </c>
      <c r="D27" s="26" t="n">
        <f aca="false">$C$9*(1+$C$13)^(B27-1)</f>
        <v>0.07</v>
      </c>
      <c r="E27" s="26" t="n">
        <f aca="false">(C27+D27/2)*$C$10</f>
        <v>2038.28316902724</v>
      </c>
      <c r="F27" s="18" t="n">
        <f aca="false">C27+D27+E27</f>
        <v>74834.1456342858</v>
      </c>
      <c r="G27" s="26" t="n">
        <f aca="false">$C$15*(1+$C$11)^(B27-1)</f>
        <v>1480423.25164032</v>
      </c>
      <c r="H27" s="43" t="str">
        <f aca="false">IF(F27&gt;=G27,"Yes","No")</f>
        <v>No</v>
      </c>
    </row>
    <row r="28" customFormat="false" ht="15" hidden="false" customHeight="false" outlineLevel="0" collapsed="false">
      <c r="B28" s="34" t="n">
        <v>9</v>
      </c>
      <c r="C28" s="26" t="n">
        <f aca="false">F27</f>
        <v>74834.1456342858</v>
      </c>
      <c r="D28" s="26" t="n">
        <f aca="false">$C$9*(1+$C$13)^(B28-1)</f>
        <v>0.07</v>
      </c>
      <c r="E28" s="26" t="n">
        <f aca="false">(C28+D28/2)*$C$10</f>
        <v>2095.35705776</v>
      </c>
      <c r="F28" s="18" t="n">
        <f aca="false">C28+D28+E28</f>
        <v>76929.5726920458</v>
      </c>
      <c r="G28" s="26" t="n">
        <f aca="false">$C$15*(1+$C$11)^(B28-1)</f>
        <v>1539640.18170593</v>
      </c>
      <c r="H28" s="43" t="str">
        <f aca="false">IF(F28&gt;=G28,"Yes","No")</f>
        <v>No</v>
      </c>
    </row>
    <row r="29" customFormat="false" ht="15" hidden="false" customHeight="false" outlineLevel="0" collapsed="false">
      <c r="B29" s="34" t="n">
        <v>10</v>
      </c>
      <c r="C29" s="26" t="n">
        <f aca="false">F28</f>
        <v>76929.5726920458</v>
      </c>
      <c r="D29" s="26" t="n">
        <f aca="false">$C$9*(1+$C$13)^(B29-1)</f>
        <v>0.07</v>
      </c>
      <c r="E29" s="26" t="n">
        <f aca="false">(C29+D29/2)*$C$10</f>
        <v>2154.02901537728</v>
      </c>
      <c r="F29" s="18" t="n">
        <f aca="false">C29+D29+E29</f>
        <v>79083.6717074231</v>
      </c>
      <c r="G29" s="26" t="n">
        <f aca="false">$C$15*(1+$C$11)^(B29-1)</f>
        <v>1601225.78897417</v>
      </c>
      <c r="H29" s="43" t="str">
        <f aca="false">IF(F29&gt;=G29,"Yes","No")</f>
        <v>No</v>
      </c>
    </row>
    <row r="30" customFormat="false" ht="15" hidden="false" customHeight="false" outlineLevel="0" collapsed="false">
      <c r="B30" s="34" t="n">
        <v>11</v>
      </c>
      <c r="C30" s="26" t="n">
        <f aca="false">F29</f>
        <v>79083.6717074231</v>
      </c>
      <c r="D30" s="26" t="n">
        <f aca="false">$C$9*(1+$C$13)^(B30-1)</f>
        <v>0.07</v>
      </c>
      <c r="E30" s="26" t="n">
        <f aca="false">(C30+D30/2)*$C$10</f>
        <v>2214.34378780785</v>
      </c>
      <c r="F30" s="18" t="n">
        <f aca="false">C30+D30+E30</f>
        <v>81298.0854952309</v>
      </c>
      <c r="G30" s="26" t="n">
        <f aca="false">$C$15*(1+$C$11)^(B30-1)</f>
        <v>1665274.82053314</v>
      </c>
      <c r="H30" s="43" t="str">
        <f aca="false">IF(F30&gt;=G30,"Yes","No")</f>
        <v>No</v>
      </c>
    </row>
    <row r="31" customFormat="false" ht="15" hidden="false" customHeight="false" outlineLevel="0" collapsed="false">
      <c r="B31" s="34" t="n">
        <v>12</v>
      </c>
      <c r="C31" s="26" t="n">
        <f aca="false">F30</f>
        <v>81298.0854952309</v>
      </c>
      <c r="D31" s="26" t="n">
        <f aca="false">$C$9*(1+$C$13)^(B31-1)</f>
        <v>0.07</v>
      </c>
      <c r="E31" s="26" t="n">
        <f aca="false">(C31+D31/2)*$C$10</f>
        <v>2276.34737386647</v>
      </c>
      <c r="F31" s="18" t="n">
        <f aca="false">C31+D31+E31</f>
        <v>83574.5028690974</v>
      </c>
      <c r="G31" s="26" t="n">
        <f aca="false">$C$15*(1+$C$11)^(B31-1)</f>
        <v>1731885.81335446</v>
      </c>
      <c r="H31" s="43" t="str">
        <f aca="false">IF(F31&gt;=G31,"Yes","No")</f>
        <v>No</v>
      </c>
    </row>
    <row r="32" customFormat="false" ht="15" hidden="false" customHeight="false" outlineLevel="0" collapsed="false">
      <c r="B32" s="34" t="n">
        <v>13</v>
      </c>
      <c r="C32" s="26" t="n">
        <f aca="false">F31</f>
        <v>83574.5028690974</v>
      </c>
      <c r="D32" s="26" t="n">
        <f aca="false">$C$9*(1+$C$13)^(B32-1)</f>
        <v>0.07</v>
      </c>
      <c r="E32" s="26" t="n">
        <f aca="false">(C32+D32/2)*$C$10</f>
        <v>2340.08706033473</v>
      </c>
      <c r="F32" s="18" t="n">
        <f aca="false">C32+D32+E32</f>
        <v>85914.6599294321</v>
      </c>
      <c r="G32" s="26" t="n">
        <f aca="false">$C$15*(1+$C$11)^(B32-1)</f>
        <v>1801161.24588864</v>
      </c>
      <c r="H32" s="43" t="str">
        <f aca="false">IF(F32&gt;=G32,"Yes","No")</f>
        <v>No</v>
      </c>
    </row>
    <row r="33" customFormat="false" ht="15" hidden="false" customHeight="false" outlineLevel="0" collapsed="false">
      <c r="B33" s="34" t="n">
        <v>14</v>
      </c>
      <c r="C33" s="26" t="n">
        <f aca="false">F32</f>
        <v>85914.6599294321</v>
      </c>
      <c r="D33" s="26" t="n">
        <f aca="false">$C$9*(1+$C$13)^(B33-1)</f>
        <v>0.07</v>
      </c>
      <c r="E33" s="26" t="n">
        <f aca="false">(C33+D33/2)*$C$10</f>
        <v>2405.6114580241</v>
      </c>
      <c r="F33" s="18" t="n">
        <f aca="false">C33+D33+E33</f>
        <v>88320.3413874562</v>
      </c>
      <c r="G33" s="26" t="n">
        <f aca="false">$C$15*(1+$C$11)^(B33-1)</f>
        <v>1873207.69572419</v>
      </c>
      <c r="H33" s="43" t="str">
        <f aca="false">IF(F33&gt;=G33,"Yes","No")</f>
        <v>No</v>
      </c>
    </row>
    <row r="34" customFormat="false" ht="15" hidden="false" customHeight="false" outlineLevel="0" collapsed="false">
      <c r="B34" s="34" t="n">
        <v>15</v>
      </c>
      <c r="C34" s="26" t="n">
        <f aca="false">F33</f>
        <v>88320.3413874562</v>
      </c>
      <c r="D34" s="26" t="n">
        <f aca="false">$C$9*(1+$C$13)^(B34-1)</f>
        <v>0.07</v>
      </c>
      <c r="E34" s="26" t="n">
        <f aca="false">(C34+D34/2)*$C$10</f>
        <v>2472.97053884878</v>
      </c>
      <c r="F34" s="18" t="n">
        <f aca="false">C34+D34+E34</f>
        <v>90793.381926305</v>
      </c>
      <c r="G34" s="26" t="n">
        <f aca="false">$C$15*(1+$C$11)^(B34-1)</f>
        <v>1948136.00355315</v>
      </c>
      <c r="H34" s="43" t="str">
        <f aca="false">IF(F34&gt;=G34,"Yes","No")</f>
        <v>No</v>
      </c>
    </row>
    <row r="35" customFormat="false" ht="15" hidden="false" customHeight="false" outlineLevel="0" collapsed="false">
      <c r="B35" s="34" t="n">
        <v>16</v>
      </c>
      <c r="C35" s="26" t="n">
        <f aca="false">F34</f>
        <v>90793.381926305</v>
      </c>
      <c r="D35" s="26" t="n">
        <f aca="false">$C$9*(1+$C$13)^(B35-1)</f>
        <v>0.07</v>
      </c>
      <c r="E35" s="26" t="n">
        <f aca="false">(C35+D35/2)*$C$10</f>
        <v>2542.21567393654</v>
      </c>
      <c r="F35" s="18" t="n">
        <f aca="false">C35+D35+E35</f>
        <v>93335.6676002416</v>
      </c>
      <c r="G35" s="26" t="n">
        <f aca="false">$C$15*(1+$C$11)^(B35-1)</f>
        <v>2026061.44369528</v>
      </c>
      <c r="H35" s="43" t="str">
        <f aca="false">IF(F35&gt;=G35,"Yes","No")</f>
        <v>No</v>
      </c>
    </row>
    <row r="36" customFormat="false" ht="15" hidden="false" customHeight="false" outlineLevel="0" collapsed="false">
      <c r="B36" s="34" t="n">
        <v>17</v>
      </c>
      <c r="C36" s="26" t="n">
        <f aca="false">F35</f>
        <v>93335.6676002416</v>
      </c>
      <c r="D36" s="26" t="n">
        <f aca="false">$C$9*(1+$C$13)^(B36-1)</f>
        <v>0.07</v>
      </c>
      <c r="E36" s="26" t="n">
        <f aca="false">(C36+D36/2)*$C$10</f>
        <v>2613.39967280676</v>
      </c>
      <c r="F36" s="18" t="n">
        <f aca="false">C36+D36+E36</f>
        <v>95949.1372730483</v>
      </c>
      <c r="G36" s="26" t="n">
        <f aca="false">$C$15*(1+$C$11)^(B36-1)</f>
        <v>2107103.90144309</v>
      </c>
      <c r="H36" s="43" t="str">
        <f aca="false">IF(F36&gt;=G36,"Yes","No")</f>
        <v>No</v>
      </c>
    </row>
    <row r="37" customFormat="false" ht="15" hidden="false" customHeight="false" outlineLevel="0" collapsed="false">
      <c r="B37" s="34" t="n">
        <v>18</v>
      </c>
      <c r="C37" s="26" t="n">
        <f aca="false">F36</f>
        <v>95949.1372730483</v>
      </c>
      <c r="D37" s="26" t="n">
        <f aca="false">$C$9*(1+$C$13)^(B37-1)</f>
        <v>0.07</v>
      </c>
      <c r="E37" s="26" t="n">
        <f aca="false">(C37+D37/2)*$C$10</f>
        <v>2686.57682364535</v>
      </c>
      <c r="F37" s="18" t="n">
        <f aca="false">C37+D37+E37</f>
        <v>98635.7840966937</v>
      </c>
      <c r="G37" s="26" t="n">
        <f aca="false">$C$15*(1+$C$11)^(B37-1)</f>
        <v>2191388.05750082</v>
      </c>
      <c r="H37" s="43" t="str">
        <f aca="false">IF(F37&gt;=G37,"Yes","No")</f>
        <v>No</v>
      </c>
    </row>
    <row r="38" customFormat="false" ht="15" hidden="false" customHeight="false" outlineLevel="0" collapsed="false">
      <c r="B38" s="34" t="n">
        <v>19</v>
      </c>
      <c r="C38" s="26" t="n">
        <f aca="false">F37</f>
        <v>98635.7840966937</v>
      </c>
      <c r="D38" s="26" t="n">
        <f aca="false">$C$9*(1+$C$13)^(B38-1)</f>
        <v>0.07</v>
      </c>
      <c r="E38" s="26" t="n">
        <f aca="false">(C38+D38/2)*$C$10</f>
        <v>2761.80293470742</v>
      </c>
      <c r="F38" s="18" t="n">
        <f aca="false">C38+D38+E38</f>
        <v>101397.657031401</v>
      </c>
      <c r="G38" s="26" t="n">
        <f aca="false">$C$15*(1+$C$11)^(B38-1)</f>
        <v>2279043.57980085</v>
      </c>
      <c r="H38" s="43" t="str">
        <f aca="false">IF(F38&gt;=G38,"Yes","No")</f>
        <v>No</v>
      </c>
    </row>
    <row r="39" customFormat="false" ht="15" hidden="false" customHeight="false" outlineLevel="0" collapsed="false">
      <c r="B39" s="34" t="n">
        <v>20</v>
      </c>
      <c r="C39" s="26" t="n">
        <f aca="false">F38</f>
        <v>101397.657031401</v>
      </c>
      <c r="D39" s="26" t="n">
        <f aca="false">$C$9*(1+$C$13)^(B39-1)</f>
        <v>0.07</v>
      </c>
      <c r="E39" s="26" t="n">
        <f aca="false">(C39+D39/2)*$C$10</f>
        <v>2839.13537687923</v>
      </c>
      <c r="F39" s="18" t="n">
        <f aca="false">C39+D39+E39</f>
        <v>104236.86240828</v>
      </c>
      <c r="G39" s="26" t="n">
        <f aca="false">$C$15*(1+$C$11)^(B39-1)</f>
        <v>2370205.32299288</v>
      </c>
      <c r="H39" s="43" t="str">
        <f aca="false">IF(F39&gt;=G39,"Yes","No")</f>
        <v>No</v>
      </c>
    </row>
    <row r="40" customFormat="false" ht="15" hidden="false" customHeight="false" outlineLevel="0" collapsed="false">
      <c r="B40" s="34" t="n">
        <v>21</v>
      </c>
      <c r="C40" s="26" t="n">
        <f aca="false">F39</f>
        <v>104236.86240828</v>
      </c>
      <c r="D40" s="26" t="n">
        <f aca="false">$C$9*(1+$C$13)^(B40-1)</f>
        <v>0.07</v>
      </c>
      <c r="E40" s="26" t="n">
        <f aca="false">(C40+D40/2)*$C$10</f>
        <v>2918.63312743185</v>
      </c>
      <c r="F40" s="18" t="n">
        <f aca="false">C40+D40+E40</f>
        <v>107155.565535712</v>
      </c>
      <c r="G40" s="26" t="n">
        <f aca="false">$C$15*(1+$C$11)^(B40-1)</f>
        <v>2465013.5359126</v>
      </c>
      <c r="H40" s="43" t="str">
        <f aca="false">IF(F40&gt;=G40,"Yes","No")</f>
        <v>No</v>
      </c>
    </row>
    <row r="41" customFormat="false" ht="15" hidden="false" customHeight="false" outlineLevel="0" collapsed="false">
      <c r="B41" s="34" t="n">
        <v>22</v>
      </c>
      <c r="C41" s="26" t="n">
        <f aca="false">F40</f>
        <v>107155.565535712</v>
      </c>
      <c r="D41" s="26" t="n">
        <f aca="false">$C$9*(1+$C$13)^(B41-1)</f>
        <v>0.07</v>
      </c>
      <c r="E41" s="26" t="n">
        <f aca="false">(C41+D41/2)*$C$10</f>
        <v>3000.35681499994</v>
      </c>
      <c r="F41" s="18" t="n">
        <f aca="false">C41+D41+E41</f>
        <v>110155.992350712</v>
      </c>
      <c r="G41" s="26" t="n">
        <f aca="false">$C$15*(1+$C$11)^(B41-1)</f>
        <v>2563614.0773491</v>
      </c>
      <c r="H41" s="43" t="str">
        <f aca="false">IF(F41&gt;=G41,"Yes","No")</f>
        <v>No</v>
      </c>
    </row>
    <row r="42" customFormat="false" ht="15" hidden="false" customHeight="false" outlineLevel="0" collapsed="false">
      <c r="B42" s="34" t="n">
        <v>23</v>
      </c>
      <c r="C42" s="26" t="n">
        <f aca="false">F41</f>
        <v>110155.992350712</v>
      </c>
      <c r="D42" s="26" t="n">
        <f aca="false">$C$9*(1+$C$13)^(B42-1)</f>
        <v>0.07</v>
      </c>
      <c r="E42" s="26" t="n">
        <f aca="false">(C42+D42/2)*$C$10</f>
        <v>3084.36876581994</v>
      </c>
      <c r="F42" s="18" t="n">
        <f aca="false">C42+D42+E42</f>
        <v>113240.431116532</v>
      </c>
      <c r="G42" s="26" t="n">
        <f aca="false">$C$15*(1+$C$11)^(B42-1)</f>
        <v>2666158.64044307</v>
      </c>
      <c r="H42" s="43" t="str">
        <f aca="false">IF(F42&gt;=G42,"Yes","No")</f>
        <v>No</v>
      </c>
    </row>
    <row r="43" customFormat="false" ht="15" hidden="false" customHeight="false" outlineLevel="0" collapsed="false">
      <c r="B43" s="34" t="n">
        <v>24</v>
      </c>
      <c r="C43" s="26" t="n">
        <f aca="false">F42</f>
        <v>113240.431116532</v>
      </c>
      <c r="D43" s="26" t="n">
        <f aca="false">$C$9*(1+$C$13)^(B43-1)</f>
        <v>0.07</v>
      </c>
      <c r="E43" s="26" t="n">
        <f aca="false">(C43+D43/2)*$C$10</f>
        <v>3170.7330512629</v>
      </c>
      <c r="F43" s="18" t="n">
        <f aca="false">C43+D43+E43</f>
        <v>116411.234167795</v>
      </c>
      <c r="G43" s="26" t="n">
        <f aca="false">$C$15*(1+$C$11)^(B43-1)</f>
        <v>2772804.98606079</v>
      </c>
      <c r="H43" s="43" t="str">
        <f aca="false">IF(F43&gt;=G43,"Yes","No")</f>
        <v>No</v>
      </c>
    </row>
    <row r="44" customFormat="false" ht="15" hidden="false" customHeight="false" outlineLevel="0" collapsed="false">
      <c r="B44" s="34" t="n">
        <v>25</v>
      </c>
      <c r="C44" s="26" t="n">
        <f aca="false">F43</f>
        <v>116411.234167795</v>
      </c>
      <c r="D44" s="26" t="n">
        <f aca="false">$C$9*(1+$C$13)^(B44-1)</f>
        <v>0.07</v>
      </c>
      <c r="E44" s="26" t="n">
        <f aca="false">(C44+D44/2)*$C$10</f>
        <v>3259.51553669826</v>
      </c>
      <c r="F44" s="18" t="n">
        <f aca="false">C44+D44+E44</f>
        <v>119670.819704493</v>
      </c>
      <c r="G44" s="26" t="n">
        <f aca="false">$C$15*(1+$C$11)^(B44-1)</f>
        <v>2883717.18550322</v>
      </c>
      <c r="H44" s="43" t="str">
        <f aca="false">IF(F44&gt;=G44,"Yes","No")</f>
        <v>No</v>
      </c>
    </row>
    <row r="45" customFormat="false" ht="15" hidden="false" customHeight="false" outlineLevel="0" collapsed="false">
      <c r="B45" s="34" t="n">
        <v>26</v>
      </c>
      <c r="C45" s="26" t="n">
        <f aca="false">F44</f>
        <v>119670.819704493</v>
      </c>
      <c r="D45" s="26" t="n">
        <f aca="false">$C$9*(1+$C$13)^(B45-1)</f>
        <v>0.07</v>
      </c>
      <c r="E45" s="26" t="n">
        <f aca="false">(C45+D45/2)*$C$10</f>
        <v>3350.78393172581</v>
      </c>
      <c r="F45" s="18" t="n">
        <f aca="false">C45+D45+E45</f>
        <v>123021.673636219</v>
      </c>
      <c r="G45" s="26" t="n">
        <f aca="false">$C$15*(1+$C$11)^(B45-1)</f>
        <v>2999065.87292335</v>
      </c>
      <c r="H45" s="43" t="str">
        <f aca="false">IF(F45&gt;=G45,"Yes","No")</f>
        <v>No</v>
      </c>
    </row>
    <row r="46" customFormat="false" ht="15" hidden="false" customHeight="false" outlineLevel="0" collapsed="false">
      <c r="B46" s="34" t="n">
        <v>27</v>
      </c>
      <c r="C46" s="26" t="n">
        <f aca="false">F45</f>
        <v>123021.673636219</v>
      </c>
      <c r="D46" s="26" t="n">
        <f aca="false">$C$9*(1+$C$13)^(B46-1)</f>
        <v>0.07</v>
      </c>
      <c r="E46" s="26" t="n">
        <f aca="false">(C46+D46/2)*$C$10</f>
        <v>3444.60784181414</v>
      </c>
      <c r="F46" s="18" t="n">
        <f aca="false">C46+D46+E46</f>
        <v>126466.351478033</v>
      </c>
      <c r="G46" s="26" t="n">
        <f aca="false">$C$15*(1+$C$11)^(B46-1)</f>
        <v>3119028.50784028</v>
      </c>
      <c r="H46" s="43" t="str">
        <f aca="false">IF(F46&gt;=G46,"Yes","No")</f>
        <v>No</v>
      </c>
    </row>
    <row r="47" customFormat="false" ht="15" hidden="false" customHeight="false" outlineLevel="0" collapsed="false">
      <c r="B47" s="34" t="n">
        <v>28</v>
      </c>
      <c r="C47" s="26" t="n">
        <f aca="false">F46</f>
        <v>126466.351478033</v>
      </c>
      <c r="D47" s="26" t="n">
        <f aca="false">$C$9*(1+$C$13)^(B47-1)</f>
        <v>0.07</v>
      </c>
      <c r="E47" s="26" t="n">
        <f aca="false">(C47+D47/2)*$C$10</f>
        <v>3541.05882138493</v>
      </c>
      <c r="F47" s="18" t="n">
        <f aca="false">C47+D47+E47</f>
        <v>130007.480299418</v>
      </c>
      <c r="G47" s="26" t="n">
        <f aca="false">$C$15*(1+$C$11)^(B47-1)</f>
        <v>3243789.6481539</v>
      </c>
      <c r="H47" s="43" t="str">
        <f aca="false">IF(F47&gt;=G47,"Yes","No")</f>
        <v>No</v>
      </c>
    </row>
    <row r="48" customFormat="false" ht="15" hidden="false" customHeight="false" outlineLevel="0" collapsed="false">
      <c r="B48" s="34" t="n">
        <v>29</v>
      </c>
      <c r="C48" s="26" t="n">
        <f aca="false">F47</f>
        <v>130007.480299418</v>
      </c>
      <c r="D48" s="26" t="n">
        <f aca="false">$C$9*(1+$C$13)^(B48-1)</f>
        <v>0.07</v>
      </c>
      <c r="E48" s="26" t="n">
        <f aca="false">(C48+D48/2)*$C$10</f>
        <v>3640.21042838371</v>
      </c>
      <c r="F48" s="18" t="n">
        <f aca="false">C48+D48+E48</f>
        <v>133647.760727802</v>
      </c>
      <c r="G48" s="26" t="n">
        <f aca="false">$C$15*(1+$C$11)^(B48-1)</f>
        <v>3373541.23408005</v>
      </c>
      <c r="H48" s="43" t="str">
        <f aca="false">IF(F48&gt;=G48,"Yes","No")</f>
        <v>No</v>
      </c>
    </row>
    <row r="49" customFormat="false" ht="15" hidden="false" customHeight="false" outlineLevel="0" collapsed="false">
      <c r="B49" s="34" t="n">
        <v>30</v>
      </c>
      <c r="C49" s="26" t="n">
        <f aca="false">F48</f>
        <v>133647.760727802</v>
      </c>
      <c r="D49" s="26" t="n">
        <f aca="false">$C$9*(1+$C$13)^(B49-1)</f>
        <v>0.07</v>
      </c>
      <c r="E49" s="26" t="n">
        <f aca="false">(C49+D49/2)*$C$10</f>
        <v>3742.13828037845</v>
      </c>
      <c r="F49" s="18" t="n">
        <f aca="false">C49+D49+E49</f>
        <v>137389.96900818</v>
      </c>
      <c r="G49" s="26" t="n">
        <f aca="false">$C$15*(1+$C$11)^(B49-1)</f>
        <v>3508482.88344325</v>
      </c>
      <c r="H49" s="43" t="str">
        <f aca="false">IF(F49&gt;=G49,"Yes","No")</f>
        <v>No</v>
      </c>
    </row>
    <row r="51" customFormat="false" ht="15" hidden="false" customHeight="false" outlineLevel="0" collapsed="false">
      <c r="B51" s="44" t="s">
        <v>285</v>
      </c>
      <c r="C51" s="59" t="str">
        <f aca="false">IFERROR(MATCH("Yes",H20:H49,0),"Beyond 30-yr horizon — extend schedule")</f>
        <v>Beyond 30-yr horizon — extend schedule</v>
      </c>
    </row>
    <row r="53" customFormat="false" ht="49.5" hidden="false" customHeight="true" outlineLevel="0" collapsed="false">
      <c r="B53" s="37" t="s">
        <v>286</v>
      </c>
      <c r="C53" s="37"/>
      <c r="D53" s="37"/>
      <c r="E53" s="37"/>
      <c r="F53" s="37"/>
      <c r="G53" s="37"/>
      <c r="H53" s="37"/>
      <c r="I53" s="37"/>
    </row>
  </sheetData>
  <mergeCells count="6">
    <mergeCell ref="B2:I2"/>
    <mergeCell ref="B3:I3"/>
    <mergeCell ref="B5:I5"/>
    <mergeCell ref="B14:I14"/>
    <mergeCell ref="B18:I18"/>
    <mergeCell ref="B53:I53"/>
  </mergeCells>
  <conditionalFormatting sqref="H20:H49">
    <cfRule type="cellIs" priority="2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5" min="3" style="0" width="11"/>
    <col collapsed="false" customWidth="true" hidden="false" outlineLevel="0" max="16" min="16" style="0" width="13"/>
  </cols>
  <sheetData>
    <row r="2" customFormat="false" ht="27.75" hidden="false" customHeight="true" outlineLevel="0" collapsed="false">
      <c r="B2" s="11" t="s">
        <v>287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5" hidden="false" customHeight="false" outlineLevel="0" collapsed="false">
      <c r="B3" s="12" t="s">
        <v>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5" customFormat="false" ht="19.5" hidden="false" customHeight="true" outlineLevel="0" collapsed="false">
      <c r="B5" s="13" t="s">
        <v>288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false" ht="15" hidden="false" customHeight="false" outlineLevel="0" collapsed="false">
      <c r="B6" s="22" t="s">
        <v>289</v>
      </c>
      <c r="C6" s="15" t="s">
        <v>290</v>
      </c>
      <c r="D6" s="15" t="s">
        <v>291</v>
      </c>
      <c r="E6" s="15" t="s">
        <v>292</v>
      </c>
      <c r="F6" s="15" t="s">
        <v>293</v>
      </c>
      <c r="G6" s="15" t="s">
        <v>294</v>
      </c>
      <c r="H6" s="15" t="s">
        <v>295</v>
      </c>
      <c r="I6" s="15" t="s">
        <v>296</v>
      </c>
      <c r="J6" s="15" t="s">
        <v>297</v>
      </c>
      <c r="K6" s="15" t="s">
        <v>298</v>
      </c>
      <c r="L6" s="15" t="s">
        <v>299</v>
      </c>
      <c r="M6" s="15" t="s">
        <v>300</v>
      </c>
      <c r="N6" s="15" t="s">
        <v>301</v>
      </c>
      <c r="O6" s="15" t="s">
        <v>302</v>
      </c>
      <c r="P6" s="15" t="s">
        <v>303</v>
      </c>
    </row>
    <row r="7" customFormat="false" ht="15" hidden="false" customHeight="false" outlineLevel="0" collapsed="false">
      <c r="B7" s="16" t="s">
        <v>304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8" t="n">
        <f aca="false">SUM(C7:O7)</f>
        <v>0</v>
      </c>
    </row>
    <row r="8" customFormat="false" ht="15" hidden="false" customHeight="false" outlineLevel="0" collapsed="false">
      <c r="B8" s="16" t="s">
        <v>305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8" t="n">
        <f aca="false">SUM(C8:O8)</f>
        <v>0</v>
      </c>
    </row>
    <row r="9" customFormat="false" ht="15" hidden="false" customHeight="false" outlineLevel="0" collapsed="false">
      <c r="B9" s="16" t="s">
        <v>306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8" t="n">
        <f aca="false">SUM(C9:O9)</f>
        <v>0</v>
      </c>
    </row>
    <row r="10" customFormat="false" ht="15" hidden="false" customHeight="false" outlineLevel="0" collapsed="false">
      <c r="B10" s="16" t="s">
        <v>307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f aca="false">SUM(C10:O10)</f>
        <v>0</v>
      </c>
    </row>
    <row r="11" customFormat="false" ht="15" hidden="false" customHeight="false" outlineLevel="0" collapsed="false">
      <c r="B11" s="60" t="s">
        <v>308</v>
      </c>
      <c r="C11" s="20" t="n">
        <f aca="false">SUM(C7:C10)</f>
        <v>0</v>
      </c>
      <c r="D11" s="20" t="n">
        <f aca="false">SUM(D7:D10)</f>
        <v>0</v>
      </c>
      <c r="E11" s="20" t="n">
        <f aca="false">SUM(E7:E10)</f>
        <v>0</v>
      </c>
      <c r="F11" s="20" t="n">
        <f aca="false">SUM(F7:F10)</f>
        <v>0</v>
      </c>
      <c r="G11" s="20" t="n">
        <f aca="false">SUM(G7:G10)</f>
        <v>0</v>
      </c>
      <c r="H11" s="20" t="n">
        <f aca="false">SUM(H7:H10)</f>
        <v>0</v>
      </c>
      <c r="I11" s="20" t="n">
        <f aca="false">SUM(I7:I10)</f>
        <v>0</v>
      </c>
      <c r="J11" s="20" t="n">
        <f aca="false">SUM(J7:J10)</f>
        <v>0</v>
      </c>
      <c r="K11" s="20" t="n">
        <f aca="false">SUM(K7:K10)</f>
        <v>0</v>
      </c>
      <c r="L11" s="20" t="n">
        <f aca="false">SUM(L7:L10)</f>
        <v>0</v>
      </c>
      <c r="M11" s="20" t="n">
        <f aca="false">SUM(M7:M10)</f>
        <v>0</v>
      </c>
      <c r="N11" s="20" t="n">
        <f aca="false">SUM(N7:N10)</f>
        <v>0</v>
      </c>
      <c r="O11" s="20" t="n">
        <f aca="false">SUM(O7:O10)</f>
        <v>0</v>
      </c>
      <c r="P11" s="20" t="n">
        <f aca="false">SUM(P7:P10)</f>
        <v>0</v>
      </c>
    </row>
    <row r="13" customFormat="false" ht="19.5" hidden="false" customHeight="true" outlineLevel="0" collapsed="false">
      <c r="B13" s="21" t="s">
        <v>309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customFormat="false" ht="15" hidden="false" customHeight="false" outlineLevel="0" collapsed="false">
      <c r="B14" s="22" t="s">
        <v>289</v>
      </c>
      <c r="C14" s="15" t="s">
        <v>290</v>
      </c>
      <c r="D14" s="15" t="s">
        <v>291</v>
      </c>
      <c r="E14" s="15" t="s">
        <v>292</v>
      </c>
      <c r="F14" s="15" t="s">
        <v>293</v>
      </c>
      <c r="G14" s="15" t="s">
        <v>294</v>
      </c>
      <c r="H14" s="15" t="s">
        <v>295</v>
      </c>
      <c r="I14" s="15" t="s">
        <v>296</v>
      </c>
      <c r="J14" s="15" t="s">
        <v>297</v>
      </c>
      <c r="K14" s="15" t="s">
        <v>298</v>
      </c>
      <c r="L14" s="15" t="s">
        <v>299</v>
      </c>
      <c r="M14" s="15" t="s">
        <v>300</v>
      </c>
      <c r="N14" s="15" t="s">
        <v>301</v>
      </c>
      <c r="O14" s="15" t="s">
        <v>302</v>
      </c>
      <c r="P14" s="15" t="s">
        <v>303</v>
      </c>
    </row>
    <row r="15" customFormat="false" ht="15" hidden="false" customHeight="false" outlineLevel="0" collapsed="false">
      <c r="B15" s="16" t="s">
        <v>310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f aca="false">SUM(C15:O15)</f>
        <v>0</v>
      </c>
    </row>
    <row r="16" customFormat="false" ht="15" hidden="false" customHeight="false" outlineLevel="0" collapsed="false">
      <c r="B16" s="16" t="s">
        <v>311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8" t="n">
        <f aca="false">SUM(C16:O16)</f>
        <v>0</v>
      </c>
    </row>
    <row r="17" customFormat="false" ht="15" hidden="false" customHeight="false" outlineLevel="0" collapsed="false">
      <c r="B17" s="16" t="s">
        <v>312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8" t="n">
        <f aca="false">SUM(C17:O17)</f>
        <v>0</v>
      </c>
    </row>
    <row r="18" customFormat="false" ht="15" hidden="false" customHeight="false" outlineLevel="0" collapsed="false">
      <c r="B18" s="16" t="s">
        <v>313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8" t="n">
        <f aca="false">SUM(C18:O18)</f>
        <v>0</v>
      </c>
    </row>
    <row r="19" customFormat="false" ht="15" hidden="false" customHeight="false" outlineLevel="0" collapsed="false">
      <c r="B19" s="16" t="s">
        <v>314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8" t="n">
        <f aca="false">SUM(C19:O19)</f>
        <v>0</v>
      </c>
    </row>
    <row r="20" customFormat="false" ht="15" hidden="false" customHeight="false" outlineLevel="0" collapsed="false">
      <c r="B20" s="16" t="s">
        <v>315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f aca="false">SUM(C20:O20)</f>
        <v>0</v>
      </c>
    </row>
    <row r="21" customFormat="false" ht="15" hidden="false" customHeight="false" outlineLevel="0" collapsed="false">
      <c r="B21" s="16" t="s">
        <v>316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f aca="false">SUM(C21:O21)</f>
        <v>0</v>
      </c>
    </row>
    <row r="22" customFormat="false" ht="15" hidden="false" customHeight="false" outlineLevel="0" collapsed="false">
      <c r="B22" s="60" t="s">
        <v>317</v>
      </c>
      <c r="C22" s="20" t="n">
        <f aca="false">SUM(C15:C21)</f>
        <v>0</v>
      </c>
      <c r="D22" s="20" t="n">
        <f aca="false">SUM(D15:D21)</f>
        <v>0</v>
      </c>
      <c r="E22" s="20" t="n">
        <f aca="false">SUM(E15:E21)</f>
        <v>0</v>
      </c>
      <c r="F22" s="20" t="n">
        <f aca="false">SUM(F15:F21)</f>
        <v>0</v>
      </c>
      <c r="G22" s="20" t="n">
        <f aca="false">SUM(G15:G21)</f>
        <v>0</v>
      </c>
      <c r="H22" s="20" t="n">
        <f aca="false">SUM(H15:H21)</f>
        <v>0</v>
      </c>
      <c r="I22" s="20" t="n">
        <f aca="false">SUM(I15:I21)</f>
        <v>0</v>
      </c>
      <c r="J22" s="20" t="n">
        <f aca="false">SUM(J15:J21)</f>
        <v>0</v>
      </c>
      <c r="K22" s="20" t="n">
        <f aca="false">SUM(K15:K21)</f>
        <v>0</v>
      </c>
      <c r="L22" s="20" t="n">
        <f aca="false">SUM(L15:L21)</f>
        <v>0</v>
      </c>
      <c r="M22" s="20" t="n">
        <f aca="false">SUM(M15:M21)</f>
        <v>0</v>
      </c>
      <c r="N22" s="20" t="n">
        <f aca="false">SUM(N15:N21)</f>
        <v>0</v>
      </c>
      <c r="O22" s="20" t="n">
        <f aca="false">SUM(O15:O21)</f>
        <v>0</v>
      </c>
      <c r="P22" s="20" t="n">
        <f aca="false">SUM(P15:P21)</f>
        <v>0</v>
      </c>
    </row>
    <row r="24" customFormat="false" ht="19.5" hidden="false" customHeight="true" outlineLevel="0" collapsed="false">
      <c r="B24" s="8" t="s">
        <v>318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B25" s="40" t="s">
        <v>319</v>
      </c>
      <c r="C25" s="17" t="n">
        <v>25000</v>
      </c>
      <c r="D25" s="26" t="n">
        <f aca="false">C27</f>
        <v>25000</v>
      </c>
      <c r="E25" s="26" t="n">
        <f aca="false">D27</f>
        <v>25000</v>
      </c>
      <c r="F25" s="26" t="n">
        <f aca="false">E27</f>
        <v>25000</v>
      </c>
      <c r="G25" s="26" t="n">
        <f aca="false">F27</f>
        <v>25000</v>
      </c>
      <c r="H25" s="26" t="n">
        <f aca="false">G27</f>
        <v>25000</v>
      </c>
      <c r="I25" s="26" t="n">
        <f aca="false">H27</f>
        <v>25000</v>
      </c>
      <c r="J25" s="26" t="n">
        <f aca="false">I27</f>
        <v>25000</v>
      </c>
      <c r="K25" s="26" t="n">
        <f aca="false">J27</f>
        <v>25000</v>
      </c>
      <c r="L25" s="26" t="n">
        <f aca="false">K27</f>
        <v>25000</v>
      </c>
      <c r="M25" s="26" t="n">
        <f aca="false">L27</f>
        <v>25000</v>
      </c>
      <c r="N25" s="26" t="n">
        <f aca="false">M27</f>
        <v>25000</v>
      </c>
      <c r="O25" s="26" t="n">
        <f aca="false">N27</f>
        <v>25000</v>
      </c>
    </row>
    <row r="26" customFormat="false" ht="15" hidden="false" customHeight="false" outlineLevel="0" collapsed="false">
      <c r="B26" s="40" t="s">
        <v>320</v>
      </c>
      <c r="C26" s="18" t="n">
        <f aca="false">C11-C22</f>
        <v>0</v>
      </c>
      <c r="D26" s="18" t="n">
        <f aca="false">D11-D22</f>
        <v>0</v>
      </c>
      <c r="E26" s="18" t="n">
        <f aca="false">E11-E22</f>
        <v>0</v>
      </c>
      <c r="F26" s="18" t="n">
        <f aca="false">F11-F22</f>
        <v>0</v>
      </c>
      <c r="G26" s="18" t="n">
        <f aca="false">G11-G22</f>
        <v>0</v>
      </c>
      <c r="H26" s="18" t="n">
        <f aca="false">H11-H22</f>
        <v>0</v>
      </c>
      <c r="I26" s="18" t="n">
        <f aca="false">I11-I22</f>
        <v>0</v>
      </c>
      <c r="J26" s="18" t="n">
        <f aca="false">J11-J22</f>
        <v>0</v>
      </c>
      <c r="K26" s="18" t="n">
        <f aca="false">K11-K22</f>
        <v>0</v>
      </c>
      <c r="L26" s="18" t="n">
        <f aca="false">L11-L22</f>
        <v>0</v>
      </c>
      <c r="M26" s="18" t="n">
        <f aca="false">M11-M22</f>
        <v>0</v>
      </c>
      <c r="N26" s="18" t="n">
        <f aca="false">N11-N22</f>
        <v>0</v>
      </c>
      <c r="O26" s="18" t="n">
        <f aca="false">O11-O22</f>
        <v>0</v>
      </c>
      <c r="P26" s="18" t="n">
        <f aca="false">SUM(C26:O26)</f>
        <v>0</v>
      </c>
    </row>
    <row r="27" customFormat="false" ht="15" hidden="false" customHeight="false" outlineLevel="0" collapsed="false">
      <c r="B27" s="44" t="s">
        <v>321</v>
      </c>
      <c r="C27" s="29" t="n">
        <f aca="false">C25+C26</f>
        <v>25000</v>
      </c>
      <c r="D27" s="29" t="n">
        <f aca="false">D25+D26</f>
        <v>25000</v>
      </c>
      <c r="E27" s="29" t="n">
        <f aca="false">E25+E26</f>
        <v>25000</v>
      </c>
      <c r="F27" s="29" t="n">
        <f aca="false">F25+F26</f>
        <v>25000</v>
      </c>
      <c r="G27" s="29" t="n">
        <f aca="false">G25+G26</f>
        <v>25000</v>
      </c>
      <c r="H27" s="29" t="n">
        <f aca="false">H25+H26</f>
        <v>25000</v>
      </c>
      <c r="I27" s="29" t="n">
        <f aca="false">I25+I26</f>
        <v>25000</v>
      </c>
      <c r="J27" s="29" t="n">
        <f aca="false">J25+J26</f>
        <v>25000</v>
      </c>
      <c r="K27" s="29" t="n">
        <f aca="false">K25+K26</f>
        <v>25000</v>
      </c>
      <c r="L27" s="29" t="n">
        <f aca="false">L25+L26</f>
        <v>25000</v>
      </c>
      <c r="M27" s="29" t="n">
        <f aca="false">M25+M26</f>
        <v>25000</v>
      </c>
      <c r="N27" s="29" t="n">
        <f aca="false">N25+N26</f>
        <v>25000</v>
      </c>
      <c r="O27" s="29" t="n">
        <f aca="false">O25+O26</f>
        <v>25000</v>
      </c>
      <c r="P27" s="45"/>
    </row>
  </sheetData>
  <mergeCells count="5">
    <mergeCell ref="B2:P2"/>
    <mergeCell ref="B3:P3"/>
    <mergeCell ref="B5:P5"/>
    <mergeCell ref="B13:P13"/>
    <mergeCell ref="B24:P24"/>
  </mergeCells>
  <conditionalFormatting sqref="C27:O2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27.75" hidden="false" customHeight="true" outlineLevel="0" collapsed="false">
      <c r="B2" s="11" t="s">
        <v>322</v>
      </c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B3" s="12" t="s">
        <v>323</v>
      </c>
      <c r="C3" s="12"/>
      <c r="D3" s="12"/>
      <c r="E3" s="12"/>
      <c r="F3" s="12"/>
      <c r="G3" s="12"/>
      <c r="H3" s="12"/>
    </row>
    <row r="5" customFormat="false" ht="19.5" hidden="false" customHeight="true" outlineLevel="0" collapsed="false">
      <c r="B5" s="13" t="s">
        <v>324</v>
      </c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B6" s="16" t="s">
        <v>325</v>
      </c>
      <c r="C6" s="17" t="n">
        <v>32000</v>
      </c>
    </row>
    <row r="7" customFormat="false" ht="15" hidden="false" customHeight="false" outlineLevel="0" collapsed="false">
      <c r="B7" s="16" t="s">
        <v>326</v>
      </c>
      <c r="C7" s="17" t="n">
        <v>9500</v>
      </c>
    </row>
    <row r="8" customFormat="false" ht="15" hidden="false" customHeight="false" outlineLevel="0" collapsed="false">
      <c r="B8" s="16" t="s">
        <v>327</v>
      </c>
      <c r="C8" s="17" t="n">
        <v>6200</v>
      </c>
    </row>
    <row r="9" customFormat="false" ht="15" hidden="false" customHeight="false" outlineLevel="0" collapsed="false">
      <c r="B9" s="16" t="s">
        <v>328</v>
      </c>
      <c r="C9" s="17" t="n">
        <v>4000</v>
      </c>
    </row>
    <row r="10" customFormat="false" ht="15" hidden="false" customHeight="false" outlineLevel="0" collapsed="false">
      <c r="B10" s="16" t="s">
        <v>329</v>
      </c>
      <c r="C10" s="39" t="n">
        <v>0.03</v>
      </c>
    </row>
    <row r="12" customFormat="false" ht="19.5" hidden="false" customHeight="true" outlineLevel="0" collapsed="false">
      <c r="B12" s="8" t="s">
        <v>330</v>
      </c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B13" s="40" t="s">
        <v>331</v>
      </c>
      <c r="C13" s="18" t="n">
        <f aca="false">C9+C10-C8</f>
        <v>-2199.97</v>
      </c>
    </row>
    <row r="14" customFormat="false" ht="15" hidden="false" customHeight="false" outlineLevel="0" collapsed="false">
      <c r="B14" s="44" t="s">
        <v>332</v>
      </c>
      <c r="C14" s="61" t="str">
        <f aca="false">IF(C13&lt;=0,"Cash flow positive — no burn",ROUND(C7/C13,1))</f>
        <v>Cash flow positive — no burn</v>
      </c>
    </row>
    <row r="15" customFormat="false" ht="15" hidden="false" customHeight="false" outlineLevel="0" collapsed="false">
      <c r="B15" s="40" t="s">
        <v>333</v>
      </c>
      <c r="C15" s="18" t="n">
        <f aca="false">C9+C10</f>
        <v>4000.03</v>
      </c>
    </row>
    <row r="17" customFormat="false" ht="19.5" hidden="false" customHeight="true" outlineLevel="0" collapsed="false">
      <c r="B17" s="21" t="s">
        <v>334</v>
      </c>
      <c r="C17" s="21"/>
      <c r="D17" s="21"/>
      <c r="E17" s="21"/>
      <c r="F17" s="21"/>
      <c r="G17" s="21"/>
      <c r="H17" s="21"/>
    </row>
    <row r="18" customFormat="false" ht="15" hidden="false" customHeight="false" outlineLevel="0" collapsed="false">
      <c r="B18" s="15" t="s">
        <v>335</v>
      </c>
      <c r="C18" s="15" t="s">
        <v>336</v>
      </c>
      <c r="D18" s="15" t="s">
        <v>337</v>
      </c>
      <c r="E18" s="15" t="s">
        <v>338</v>
      </c>
      <c r="F18" s="15" t="s">
        <v>339</v>
      </c>
      <c r="G18" s="15" t="s">
        <v>340</v>
      </c>
    </row>
    <row r="19" customFormat="false" ht="15" hidden="false" customHeight="false" outlineLevel="0" collapsed="false">
      <c r="B19" s="34" t="n">
        <v>1</v>
      </c>
      <c r="C19" s="26" t="n">
        <f aca="false">$C$7</f>
        <v>9500</v>
      </c>
      <c r="D19" s="26" t="n">
        <f aca="false">$C$8*(1+$C$11)^(B19-1)</f>
        <v>6200</v>
      </c>
      <c r="E19" s="26" t="n">
        <f aca="false">$C$9+$C$10</f>
        <v>4000.03</v>
      </c>
      <c r="F19" s="26" t="n">
        <f aca="false">D19-E19</f>
        <v>2199.97</v>
      </c>
      <c r="G19" s="18" t="n">
        <f aca="false">C19+F19</f>
        <v>11699.97</v>
      </c>
    </row>
    <row r="20" customFormat="false" ht="15" hidden="false" customHeight="false" outlineLevel="0" collapsed="false">
      <c r="B20" s="34" t="n">
        <v>2</v>
      </c>
      <c r="C20" s="26" t="n">
        <f aca="false">F19</f>
        <v>2199.97</v>
      </c>
      <c r="D20" s="26" t="n">
        <f aca="false">$C$8*(1+$C$11)^(B20-1)</f>
        <v>6200</v>
      </c>
      <c r="E20" s="26" t="n">
        <f aca="false">$C$9+$C$10</f>
        <v>4000.03</v>
      </c>
      <c r="F20" s="26" t="n">
        <f aca="false">D20-E20</f>
        <v>2199.97</v>
      </c>
      <c r="G20" s="18" t="n">
        <f aca="false">C20+F20</f>
        <v>4399.94</v>
      </c>
    </row>
    <row r="21" customFormat="false" ht="15" hidden="false" customHeight="false" outlineLevel="0" collapsed="false">
      <c r="B21" s="34" t="n">
        <v>3</v>
      </c>
      <c r="C21" s="26" t="n">
        <f aca="false">F20</f>
        <v>2199.97</v>
      </c>
      <c r="D21" s="26" t="n">
        <f aca="false">$C$8*(1+$C$11)^(B21-1)</f>
        <v>6200</v>
      </c>
      <c r="E21" s="26" t="n">
        <f aca="false">$C$9+$C$10</f>
        <v>4000.03</v>
      </c>
      <c r="F21" s="26" t="n">
        <f aca="false">D21-E21</f>
        <v>2199.97</v>
      </c>
      <c r="G21" s="18" t="n">
        <f aca="false">C21+F21</f>
        <v>4399.94</v>
      </c>
    </row>
    <row r="22" customFormat="false" ht="15" hidden="false" customHeight="false" outlineLevel="0" collapsed="false">
      <c r="B22" s="34" t="n">
        <v>4</v>
      </c>
      <c r="C22" s="26" t="n">
        <f aca="false">F21</f>
        <v>2199.97</v>
      </c>
      <c r="D22" s="26" t="n">
        <f aca="false">$C$8*(1+$C$11)^(B22-1)</f>
        <v>6200</v>
      </c>
      <c r="E22" s="26" t="n">
        <f aca="false">$C$9+$C$10</f>
        <v>4000.03</v>
      </c>
      <c r="F22" s="26" t="n">
        <f aca="false">D22-E22</f>
        <v>2199.97</v>
      </c>
      <c r="G22" s="18" t="n">
        <f aca="false">C22+F22</f>
        <v>4399.94</v>
      </c>
    </row>
    <row r="23" customFormat="false" ht="15" hidden="false" customHeight="false" outlineLevel="0" collapsed="false">
      <c r="B23" s="34" t="n">
        <v>5</v>
      </c>
      <c r="C23" s="26" t="n">
        <f aca="false">F22</f>
        <v>2199.97</v>
      </c>
      <c r="D23" s="26" t="n">
        <f aca="false">$C$8*(1+$C$11)^(B23-1)</f>
        <v>6200</v>
      </c>
      <c r="E23" s="26" t="n">
        <f aca="false">$C$9+$C$10</f>
        <v>4000.03</v>
      </c>
      <c r="F23" s="26" t="n">
        <f aca="false">D23-E23</f>
        <v>2199.97</v>
      </c>
      <c r="G23" s="18" t="n">
        <f aca="false">C23+F23</f>
        <v>4399.94</v>
      </c>
    </row>
    <row r="24" customFormat="false" ht="15" hidden="false" customHeight="false" outlineLevel="0" collapsed="false">
      <c r="B24" s="34" t="n">
        <v>6</v>
      </c>
      <c r="C24" s="26" t="n">
        <f aca="false">F23</f>
        <v>2199.97</v>
      </c>
      <c r="D24" s="26" t="n">
        <f aca="false">$C$8*(1+$C$11)^(B24-1)</f>
        <v>6200</v>
      </c>
      <c r="E24" s="26" t="n">
        <f aca="false">$C$9+$C$10</f>
        <v>4000.03</v>
      </c>
      <c r="F24" s="26" t="n">
        <f aca="false">D24-E24</f>
        <v>2199.97</v>
      </c>
      <c r="G24" s="18" t="n">
        <f aca="false">C24+F24</f>
        <v>4399.94</v>
      </c>
    </row>
    <row r="25" customFormat="false" ht="15" hidden="false" customHeight="false" outlineLevel="0" collapsed="false">
      <c r="B25" s="34" t="n">
        <v>7</v>
      </c>
      <c r="C25" s="26" t="n">
        <f aca="false">F24</f>
        <v>2199.97</v>
      </c>
      <c r="D25" s="26" t="n">
        <f aca="false">$C$8*(1+$C$11)^(B25-1)</f>
        <v>6200</v>
      </c>
      <c r="E25" s="26" t="n">
        <f aca="false">$C$9+$C$10</f>
        <v>4000.03</v>
      </c>
      <c r="F25" s="26" t="n">
        <f aca="false">D25-E25</f>
        <v>2199.97</v>
      </c>
      <c r="G25" s="18" t="n">
        <f aca="false">C25+F25</f>
        <v>4399.94</v>
      </c>
    </row>
    <row r="26" customFormat="false" ht="15" hidden="false" customHeight="false" outlineLevel="0" collapsed="false">
      <c r="B26" s="34" t="n">
        <v>8</v>
      </c>
      <c r="C26" s="26" t="n">
        <f aca="false">F25</f>
        <v>2199.97</v>
      </c>
      <c r="D26" s="26" t="n">
        <f aca="false">$C$8*(1+$C$11)^(B26-1)</f>
        <v>6200</v>
      </c>
      <c r="E26" s="26" t="n">
        <f aca="false">$C$9+$C$10</f>
        <v>4000.03</v>
      </c>
      <c r="F26" s="26" t="n">
        <f aca="false">D26-E26</f>
        <v>2199.97</v>
      </c>
      <c r="G26" s="18" t="n">
        <f aca="false">C26+F26</f>
        <v>4399.94</v>
      </c>
    </row>
    <row r="27" customFormat="false" ht="15" hidden="false" customHeight="false" outlineLevel="0" collapsed="false">
      <c r="B27" s="34" t="n">
        <v>9</v>
      </c>
      <c r="C27" s="26" t="n">
        <f aca="false">F26</f>
        <v>2199.97</v>
      </c>
      <c r="D27" s="26" t="n">
        <f aca="false">$C$8*(1+$C$11)^(B27-1)</f>
        <v>6200</v>
      </c>
      <c r="E27" s="26" t="n">
        <f aca="false">$C$9+$C$10</f>
        <v>4000.03</v>
      </c>
      <c r="F27" s="26" t="n">
        <f aca="false">D27-E27</f>
        <v>2199.97</v>
      </c>
      <c r="G27" s="18" t="n">
        <f aca="false">C27+F27</f>
        <v>4399.94</v>
      </c>
    </row>
    <row r="28" customFormat="false" ht="15" hidden="false" customHeight="false" outlineLevel="0" collapsed="false">
      <c r="B28" s="34" t="n">
        <v>10</v>
      </c>
      <c r="C28" s="26" t="n">
        <f aca="false">F27</f>
        <v>2199.97</v>
      </c>
      <c r="D28" s="26" t="n">
        <f aca="false">$C$8*(1+$C$11)^(B28-1)</f>
        <v>6200</v>
      </c>
      <c r="E28" s="26" t="n">
        <f aca="false">$C$9+$C$10</f>
        <v>4000.03</v>
      </c>
      <c r="F28" s="26" t="n">
        <f aca="false">D28-E28</f>
        <v>2199.97</v>
      </c>
      <c r="G28" s="18" t="n">
        <f aca="false">C28+F28</f>
        <v>4399.94</v>
      </c>
    </row>
    <row r="29" customFormat="false" ht="15" hidden="false" customHeight="false" outlineLevel="0" collapsed="false">
      <c r="B29" s="34" t="n">
        <v>11</v>
      </c>
      <c r="C29" s="26" t="n">
        <f aca="false">F28</f>
        <v>2199.97</v>
      </c>
      <c r="D29" s="26" t="n">
        <f aca="false">$C$8*(1+$C$11)^(B29-1)</f>
        <v>6200</v>
      </c>
      <c r="E29" s="26" t="n">
        <f aca="false">$C$9+$C$10</f>
        <v>4000.03</v>
      </c>
      <c r="F29" s="26" t="n">
        <f aca="false">D29-E29</f>
        <v>2199.97</v>
      </c>
      <c r="G29" s="18" t="n">
        <f aca="false">C29+F29</f>
        <v>4399.94</v>
      </c>
    </row>
    <row r="30" customFormat="false" ht="15" hidden="false" customHeight="false" outlineLevel="0" collapsed="false">
      <c r="B30" s="34" t="n">
        <v>12</v>
      </c>
      <c r="C30" s="26" t="n">
        <f aca="false">F29</f>
        <v>2199.97</v>
      </c>
      <c r="D30" s="26" t="n">
        <f aca="false">$C$8*(1+$C$11)^(B30-1)</f>
        <v>6200</v>
      </c>
      <c r="E30" s="26" t="n">
        <f aca="false">$C$9+$C$10</f>
        <v>4000.03</v>
      </c>
      <c r="F30" s="26" t="n">
        <f aca="false">D30-E30</f>
        <v>2199.97</v>
      </c>
      <c r="G30" s="18" t="n">
        <f aca="false">C30+F30</f>
        <v>4399.94</v>
      </c>
    </row>
    <row r="32" customFormat="false" ht="45" hidden="false" customHeight="true" outlineLevel="0" collapsed="false">
      <c r="B32" s="37" t="s">
        <v>341</v>
      </c>
      <c r="C32" s="37"/>
      <c r="D32" s="37"/>
      <c r="E32" s="37"/>
      <c r="F32" s="37"/>
      <c r="G32" s="37"/>
      <c r="H32" s="37"/>
    </row>
  </sheetData>
  <mergeCells count="6">
    <mergeCell ref="B2:H2"/>
    <mergeCell ref="B3:H3"/>
    <mergeCell ref="B5:H5"/>
    <mergeCell ref="B12:H12"/>
    <mergeCell ref="B17:H17"/>
    <mergeCell ref="B32:H32"/>
  </mergeCells>
  <conditionalFormatting sqref="G19:G30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5"/>
  </cols>
  <sheetData>
    <row r="2" customFormat="false" ht="27.75" hidden="false" customHeight="true" outlineLevel="0" collapsed="false">
      <c r="B2" s="11" t="s">
        <v>342</v>
      </c>
      <c r="C2" s="11"/>
      <c r="D2" s="11"/>
      <c r="E2" s="11"/>
      <c r="F2" s="11"/>
    </row>
    <row r="3" customFormat="false" ht="15" hidden="false" customHeight="false" outlineLevel="0" collapsed="false">
      <c r="B3" s="12" t="s">
        <v>343</v>
      </c>
      <c r="C3" s="12"/>
      <c r="D3" s="12"/>
      <c r="E3" s="12"/>
      <c r="F3" s="12"/>
    </row>
    <row r="5" customFormat="false" ht="19.5" hidden="false" customHeight="true" outlineLevel="0" collapsed="false">
      <c r="B5" s="13" t="s">
        <v>344</v>
      </c>
      <c r="C5" s="13"/>
      <c r="D5" s="13"/>
      <c r="E5" s="13"/>
      <c r="F5" s="13"/>
    </row>
    <row r="6" customFormat="false" ht="15" hidden="false" customHeight="false" outlineLevel="0" collapsed="false">
      <c r="B6" s="22" t="s">
        <v>345</v>
      </c>
      <c r="C6" s="15" t="s">
        <v>346</v>
      </c>
      <c r="D6" s="15" t="s">
        <v>347</v>
      </c>
      <c r="E6" s="15" t="s">
        <v>348</v>
      </c>
      <c r="F6" s="15" t="s">
        <v>349</v>
      </c>
    </row>
    <row r="7" customFormat="false" ht="15" hidden="false" customHeight="false" outlineLevel="0" collapsed="false">
      <c r="B7" s="62" t="s">
        <v>350</v>
      </c>
      <c r="D7" s="39" t="n">
        <v>0.15</v>
      </c>
      <c r="E7" s="39" t="n">
        <v>0.15</v>
      </c>
    </row>
    <row r="8" customFormat="false" ht="15" hidden="false" customHeight="false" outlineLevel="0" collapsed="false">
      <c r="B8" s="22" t="s">
        <v>337</v>
      </c>
      <c r="D8" s="17" t="n">
        <v>180000</v>
      </c>
      <c r="E8" s="18" t="n">
        <f aca="false">D8*(1+E7)</f>
        <v>207000</v>
      </c>
      <c r="F8" s="18" t="n">
        <f aca="false">E8*(1+F7)</f>
        <v>207000</v>
      </c>
    </row>
    <row r="9" customFormat="false" ht="15" hidden="false" customHeight="false" outlineLevel="0" collapsed="false">
      <c r="B9" s="16" t="s">
        <v>351</v>
      </c>
      <c r="D9" s="39" t="n">
        <v>0.22</v>
      </c>
      <c r="E9" s="39" t="n">
        <v>0.2</v>
      </c>
      <c r="F9" s="39" t="n">
        <v>0.18</v>
      </c>
    </row>
    <row r="10" customFormat="false" ht="15" hidden="false" customHeight="false" outlineLevel="0" collapsed="false">
      <c r="B10" s="22" t="s">
        <v>352</v>
      </c>
      <c r="D10" s="18" t="n">
        <f aca="false">D8*(1-D9)</f>
        <v>140400</v>
      </c>
      <c r="E10" s="18" t="n">
        <f aca="false">E8*(1-E9)</f>
        <v>165600</v>
      </c>
      <c r="F10" s="18" t="n">
        <f aca="false">F8*(1-F9)</f>
        <v>169740</v>
      </c>
    </row>
    <row r="11" customFormat="false" ht="15" hidden="false" customHeight="false" outlineLevel="0" collapsed="false">
      <c r="B11" s="16" t="s">
        <v>353</v>
      </c>
      <c r="D11" s="17" t="n">
        <v>4800</v>
      </c>
      <c r="E11" s="17" t="n">
        <v>5400</v>
      </c>
      <c r="F11" s="17" t="n">
        <v>6000</v>
      </c>
    </row>
    <row r="12" customFormat="false" ht="15" hidden="false" customHeight="false" outlineLevel="0" collapsed="false">
      <c r="B12" s="16" t="s">
        <v>354</v>
      </c>
      <c r="D12" s="17" t="n">
        <v>6000</v>
      </c>
      <c r="E12" s="17" t="n">
        <v>6600</v>
      </c>
      <c r="F12" s="17" t="n">
        <v>7200</v>
      </c>
    </row>
    <row r="13" customFormat="false" ht="15" hidden="false" customHeight="false" outlineLevel="0" collapsed="false">
      <c r="B13" s="16" t="s">
        <v>355</v>
      </c>
      <c r="D13" s="17" t="n">
        <v>12000</v>
      </c>
      <c r="E13" s="17" t="n">
        <v>18000</v>
      </c>
      <c r="F13" s="17" t="n">
        <v>24000</v>
      </c>
    </row>
    <row r="14" customFormat="false" ht="15" hidden="false" customHeight="false" outlineLevel="0" collapsed="false">
      <c r="B14" s="16" t="s">
        <v>356</v>
      </c>
      <c r="D14" s="17" t="n">
        <v>9600</v>
      </c>
      <c r="E14" s="17" t="n">
        <v>14400</v>
      </c>
      <c r="F14" s="17" t="n">
        <v>19200</v>
      </c>
    </row>
    <row r="15" customFormat="false" ht="15" hidden="false" customHeight="false" outlineLevel="0" collapsed="false">
      <c r="B15" s="16" t="s">
        <v>357</v>
      </c>
      <c r="D15" s="17" t="n">
        <v>60000</v>
      </c>
      <c r="E15" s="17" t="n">
        <v>72000</v>
      </c>
      <c r="F15" s="17" t="n">
        <v>84000</v>
      </c>
    </row>
    <row r="16" customFormat="false" ht="15" hidden="false" customHeight="false" outlineLevel="0" collapsed="false">
      <c r="B16" s="22" t="s">
        <v>358</v>
      </c>
      <c r="D16" s="18" t="n">
        <f aca="false">SUM(D11:D15)</f>
        <v>92400</v>
      </c>
      <c r="E16" s="18" t="n">
        <f aca="false">SUM(E11:E15)</f>
        <v>116400</v>
      </c>
      <c r="F16" s="18" t="n">
        <f aca="false">SUM(F11:F15)</f>
        <v>140400</v>
      </c>
    </row>
    <row r="17" customFormat="false" ht="15" hidden="false" customHeight="false" outlineLevel="0" collapsed="false">
      <c r="B17" s="60" t="s">
        <v>359</v>
      </c>
      <c r="C17" s="63"/>
      <c r="D17" s="20" t="n">
        <f aca="false">D10-D16</f>
        <v>48000</v>
      </c>
      <c r="E17" s="20" t="n">
        <f aca="false">E10-E16</f>
        <v>49200</v>
      </c>
      <c r="F17" s="20" t="n">
        <f aca="false">F10-F16</f>
        <v>29340</v>
      </c>
    </row>
    <row r="18" customFormat="false" ht="15" hidden="false" customHeight="false" outlineLevel="0" collapsed="false">
      <c r="B18" s="16" t="s">
        <v>360</v>
      </c>
      <c r="D18" s="17" t="n">
        <v>1200</v>
      </c>
      <c r="E18" s="17" t="n">
        <v>1400</v>
      </c>
      <c r="F18" s="17" t="n">
        <v>1600</v>
      </c>
    </row>
    <row r="19" customFormat="false" ht="15" hidden="false" customHeight="false" outlineLevel="0" collapsed="false">
      <c r="B19" s="22" t="s">
        <v>361</v>
      </c>
      <c r="D19" s="18" t="n">
        <f aca="false">D17-D18</f>
        <v>46800</v>
      </c>
      <c r="E19" s="18" t="n">
        <f aca="false">E17-E18</f>
        <v>47800</v>
      </c>
      <c r="F19" s="18" t="n">
        <f aca="false">F17-F18</f>
        <v>27740</v>
      </c>
    </row>
    <row r="20" customFormat="false" ht="15" hidden="false" customHeight="false" outlineLevel="0" collapsed="false">
      <c r="B20" s="16" t="s">
        <v>362</v>
      </c>
      <c r="D20" s="39" t="n">
        <v>0.24</v>
      </c>
      <c r="E20" s="39" t="n">
        <v>0.24</v>
      </c>
      <c r="F20" s="39" t="n">
        <v>0.24</v>
      </c>
    </row>
    <row r="21" customFormat="false" ht="15" hidden="false" customHeight="false" outlineLevel="0" collapsed="false">
      <c r="B21" s="16" t="s">
        <v>363</v>
      </c>
      <c r="D21" s="26" t="n">
        <f aca="false">MAX(D19,0)*D20</f>
        <v>11232</v>
      </c>
      <c r="E21" s="26" t="n">
        <f aca="false">MAX(E19,0)*E20</f>
        <v>11472</v>
      </c>
      <c r="F21" s="26" t="n">
        <f aca="false">MAX(F19,0)*F20</f>
        <v>6657.6</v>
      </c>
    </row>
    <row r="22" customFormat="false" ht="15" hidden="false" customHeight="false" outlineLevel="0" collapsed="false">
      <c r="B22" s="64" t="s">
        <v>364</v>
      </c>
      <c r="C22" s="45"/>
      <c r="D22" s="29" t="n">
        <f aca="false">D19-D21</f>
        <v>35568</v>
      </c>
      <c r="E22" s="29" t="n">
        <f aca="false">E19-E21</f>
        <v>36328</v>
      </c>
      <c r="F22" s="29" t="n">
        <f aca="false">F19-F21</f>
        <v>21082.4</v>
      </c>
    </row>
    <row r="24" customFormat="false" ht="19.5" hidden="false" customHeight="true" outlineLevel="0" collapsed="false">
      <c r="B24" s="21" t="s">
        <v>365</v>
      </c>
      <c r="C24" s="21"/>
      <c r="D24" s="21"/>
      <c r="E24" s="21"/>
      <c r="F24" s="21"/>
    </row>
    <row r="25" customFormat="false" ht="15" hidden="false" customHeight="false" outlineLevel="0" collapsed="false">
      <c r="B25" s="22" t="s">
        <v>345</v>
      </c>
      <c r="C25" s="15" t="s">
        <v>346</v>
      </c>
      <c r="D25" s="15" t="s">
        <v>347</v>
      </c>
      <c r="E25" s="15" t="s">
        <v>348</v>
      </c>
      <c r="F25" s="15" t="s">
        <v>349</v>
      </c>
    </row>
    <row r="26" customFormat="false" ht="15" hidden="false" customHeight="false" outlineLevel="0" collapsed="false">
      <c r="B26" s="65" t="s">
        <v>243</v>
      </c>
    </row>
    <row r="27" customFormat="false" ht="15" hidden="false" customHeight="false" outlineLevel="0" collapsed="false">
      <c r="B27" s="16" t="s">
        <v>366</v>
      </c>
      <c r="C27" s="17" t="n">
        <v>22000</v>
      </c>
      <c r="D27" s="26" t="n">
        <f aca="false">D61</f>
        <v>52648</v>
      </c>
      <c r="E27" s="26" t="n">
        <f aca="false">E61</f>
        <v>83738</v>
      </c>
      <c r="F27" s="26" t="n">
        <f aca="false">F61</f>
        <v>99420.4</v>
      </c>
    </row>
    <row r="28" customFormat="false" ht="15" hidden="false" customHeight="false" outlineLevel="0" collapsed="false">
      <c r="B28" s="16" t="s">
        <v>367</v>
      </c>
      <c r="C28" s="17" t="n">
        <v>3200</v>
      </c>
      <c r="D28" s="26" t="n">
        <f aca="false">C28*(1+D7)</f>
        <v>3680</v>
      </c>
      <c r="E28" s="26" t="n">
        <f aca="false">D28*(1+E7)</f>
        <v>4232</v>
      </c>
      <c r="F28" s="26" t="n">
        <f aca="false">E28</f>
        <v>4232</v>
      </c>
    </row>
    <row r="29" customFormat="false" ht="15" hidden="false" customHeight="false" outlineLevel="0" collapsed="false">
      <c r="B29" s="16" t="s">
        <v>368</v>
      </c>
      <c r="C29" s="17" t="n">
        <v>8000</v>
      </c>
      <c r="D29" s="26" t="n">
        <f aca="false">C29-D52-D18</f>
        <v>8800</v>
      </c>
      <c r="E29" s="26" t="n">
        <f aca="false">D29-E52-E18</f>
        <v>9900</v>
      </c>
      <c r="F29" s="26" t="n">
        <f aca="false">E29-F52-F18</f>
        <v>11300</v>
      </c>
    </row>
    <row r="30" customFormat="false" ht="15" hidden="false" customHeight="false" outlineLevel="0" collapsed="false">
      <c r="B30" s="60" t="s">
        <v>259</v>
      </c>
      <c r="C30" s="20" t="n">
        <f aca="false">SUM(C27:C29)</f>
        <v>33200</v>
      </c>
      <c r="D30" s="20" t="n">
        <f aca="false">SUM(D27:D29)</f>
        <v>65128</v>
      </c>
      <c r="E30" s="20" t="n">
        <f aca="false">SUM(E27:E29)</f>
        <v>97870</v>
      </c>
      <c r="F30" s="20" t="n">
        <f aca="false">SUM(F27:F29)</f>
        <v>114952.4</v>
      </c>
    </row>
    <row r="31" customFormat="false" ht="15" hidden="false" customHeight="false" outlineLevel="0" collapsed="false">
      <c r="B31" s="65" t="s">
        <v>260</v>
      </c>
    </row>
    <row r="32" customFormat="false" ht="15" hidden="false" customHeight="false" outlineLevel="0" collapsed="false">
      <c r="B32" s="16" t="s">
        <v>369</v>
      </c>
      <c r="C32" s="17" t="n">
        <v>2400</v>
      </c>
      <c r="D32" s="26" t="n">
        <f aca="false">C32*(1+D7)</f>
        <v>2760</v>
      </c>
      <c r="E32" s="26" t="n">
        <f aca="false">D32*(1+E7)</f>
        <v>3174</v>
      </c>
      <c r="F32" s="26" t="n">
        <f aca="false">E32</f>
        <v>3174</v>
      </c>
    </row>
    <row r="33" customFormat="false" ht="15" hidden="false" customHeight="false" outlineLevel="0" collapsed="false">
      <c r="B33" s="16" t="s">
        <v>370</v>
      </c>
      <c r="C33" s="17" t="n">
        <v>12000</v>
      </c>
      <c r="D33" s="17" t="n">
        <v>8000</v>
      </c>
      <c r="E33" s="17" t="n">
        <v>4000</v>
      </c>
      <c r="F33" s="17" t="n">
        <v>0</v>
      </c>
    </row>
    <row r="34" customFormat="false" ht="15" hidden="false" customHeight="false" outlineLevel="0" collapsed="false">
      <c r="B34" s="60" t="s">
        <v>265</v>
      </c>
      <c r="C34" s="20" t="n">
        <f aca="false">SUM(C32:C33)</f>
        <v>14400</v>
      </c>
      <c r="D34" s="20" t="n">
        <f aca="false">SUM(D32:D33)</f>
        <v>10760</v>
      </c>
      <c r="E34" s="20" t="n">
        <f aca="false">SUM(E32:E33)</f>
        <v>7174</v>
      </c>
      <c r="F34" s="20" t="n">
        <f aca="false">SUM(F32:F33)</f>
        <v>3174</v>
      </c>
    </row>
    <row r="35" customFormat="false" ht="15" hidden="false" customHeight="false" outlineLevel="0" collapsed="false">
      <c r="B35" s="65" t="s">
        <v>371</v>
      </c>
    </row>
    <row r="36" customFormat="false" ht="15" hidden="false" customHeight="false" outlineLevel="0" collapsed="false">
      <c r="B36" s="16" t="s">
        <v>372</v>
      </c>
      <c r="C36" s="26" t="n">
        <f aca="false">C30-C34</f>
        <v>18800</v>
      </c>
      <c r="D36" s="26" t="n">
        <f aca="false">C39</f>
        <v>18800</v>
      </c>
      <c r="E36" s="26" t="n">
        <f aca="false">D39</f>
        <v>54368</v>
      </c>
      <c r="F36" s="26" t="n">
        <f aca="false">E39</f>
        <v>90696</v>
      </c>
    </row>
    <row r="37" customFormat="false" ht="15" hidden="false" customHeight="false" outlineLevel="0" collapsed="false">
      <c r="B37" s="16" t="s">
        <v>373</v>
      </c>
      <c r="D37" s="26" t="n">
        <f aca="false">D22</f>
        <v>35568</v>
      </c>
      <c r="E37" s="26" t="n">
        <f aca="false">E22</f>
        <v>36328</v>
      </c>
      <c r="F37" s="26" t="n">
        <f aca="false">F22</f>
        <v>21082.4</v>
      </c>
    </row>
    <row r="38" customFormat="false" ht="15" hidden="false" customHeight="false" outlineLevel="0" collapsed="false">
      <c r="B38" s="16" t="s">
        <v>374</v>
      </c>
      <c r="D38" s="17" t="n">
        <v>0</v>
      </c>
      <c r="E38" s="17" t="n">
        <v>0</v>
      </c>
      <c r="F38" s="17" t="n">
        <v>0</v>
      </c>
    </row>
    <row r="39" customFormat="false" ht="15" hidden="false" customHeight="false" outlineLevel="0" collapsed="false">
      <c r="B39" s="22" t="s">
        <v>375</v>
      </c>
      <c r="C39" s="18" t="n">
        <f aca="false">C36</f>
        <v>18800</v>
      </c>
      <c r="D39" s="18" t="n">
        <f aca="false">D36+D37-D38</f>
        <v>54368</v>
      </c>
      <c r="E39" s="18" t="n">
        <f aca="false">E36+E37-E38</f>
        <v>90696</v>
      </c>
      <c r="F39" s="18" t="n">
        <f aca="false">F36+F37-F38</f>
        <v>111778.4</v>
      </c>
    </row>
    <row r="40" customFormat="false" ht="15" hidden="false" customHeight="false" outlineLevel="0" collapsed="false">
      <c r="B40" s="64" t="s">
        <v>376</v>
      </c>
      <c r="C40" s="29" t="n">
        <f aca="false">C34+C39</f>
        <v>33200</v>
      </c>
      <c r="D40" s="29" t="n">
        <f aca="false">D34+D39</f>
        <v>65128</v>
      </c>
      <c r="E40" s="29" t="n">
        <f aca="false">E34+E39</f>
        <v>97870</v>
      </c>
      <c r="F40" s="29" t="n">
        <f aca="false">F34+F39</f>
        <v>114952.4</v>
      </c>
    </row>
    <row r="41" customFormat="false" ht="15" hidden="false" customHeight="false" outlineLevel="0" collapsed="false">
      <c r="B41" s="30" t="s">
        <v>377</v>
      </c>
      <c r="C41" s="26" t="n">
        <f aca="false">C30-C40</f>
        <v>0</v>
      </c>
      <c r="D41" s="26" t="n">
        <f aca="false">D30-D40</f>
        <v>0</v>
      </c>
      <c r="E41" s="26" t="n">
        <f aca="false">E30-E40</f>
        <v>0</v>
      </c>
      <c r="F41" s="26" t="n">
        <f aca="false">F30-F40</f>
        <v>0</v>
      </c>
    </row>
    <row r="43" customFormat="false" ht="19.5" hidden="false" customHeight="true" outlineLevel="0" collapsed="false">
      <c r="B43" s="8" t="s">
        <v>378</v>
      </c>
      <c r="C43" s="8"/>
      <c r="D43" s="8"/>
      <c r="E43" s="8"/>
      <c r="F43" s="8"/>
    </row>
    <row r="44" customFormat="false" ht="15" hidden="false" customHeight="false" outlineLevel="0" collapsed="false">
      <c r="B44" s="22" t="s">
        <v>345</v>
      </c>
      <c r="D44" s="15" t="s">
        <v>347</v>
      </c>
      <c r="E44" s="15" t="s">
        <v>348</v>
      </c>
      <c r="F44" s="15" t="s">
        <v>349</v>
      </c>
    </row>
    <row r="45" customFormat="false" ht="15" hidden="false" customHeight="false" outlineLevel="0" collapsed="false">
      <c r="B45" s="65" t="s">
        <v>379</v>
      </c>
    </row>
    <row r="46" customFormat="false" ht="15" hidden="false" customHeight="false" outlineLevel="0" collapsed="false">
      <c r="B46" s="16" t="s">
        <v>380</v>
      </c>
      <c r="D46" s="26" t="n">
        <f aca="false">D22</f>
        <v>35568</v>
      </c>
      <c r="E46" s="26" t="n">
        <f aca="false">E22</f>
        <v>36328</v>
      </c>
      <c r="F46" s="26" t="n">
        <f aca="false">F22</f>
        <v>21082.4</v>
      </c>
    </row>
    <row r="47" customFormat="false" ht="15" hidden="false" customHeight="false" outlineLevel="0" collapsed="false">
      <c r="B47" s="16" t="s">
        <v>381</v>
      </c>
      <c r="D47" s="26" t="n">
        <f aca="false">D18</f>
        <v>1200</v>
      </c>
      <c r="E47" s="26" t="n">
        <f aca="false">E18</f>
        <v>1400</v>
      </c>
      <c r="F47" s="26" t="n">
        <f aca="false">F18</f>
        <v>1600</v>
      </c>
    </row>
    <row r="48" customFormat="false" ht="15" hidden="false" customHeight="false" outlineLevel="0" collapsed="false">
      <c r="B48" s="16" t="s">
        <v>382</v>
      </c>
      <c r="D48" s="26" t="n">
        <f aca="false">-(D28-C28)</f>
        <v>-480</v>
      </c>
      <c r="E48" s="26" t="n">
        <f aca="false">-(E28-D28)</f>
        <v>-552</v>
      </c>
      <c r="F48" s="26" t="n">
        <f aca="false">-(F28-E28)</f>
        <v>-0</v>
      </c>
    </row>
    <row r="49" customFormat="false" ht="15" hidden="false" customHeight="false" outlineLevel="0" collapsed="false">
      <c r="B49" s="16" t="s">
        <v>383</v>
      </c>
      <c r="D49" s="26" t="n">
        <f aca="false">D32-C32</f>
        <v>360</v>
      </c>
      <c r="E49" s="26" t="n">
        <f aca="false">E32-D32</f>
        <v>414</v>
      </c>
      <c r="F49" s="26" t="n">
        <f aca="false">F32-E32</f>
        <v>0</v>
      </c>
    </row>
    <row r="50" customFormat="false" ht="15" hidden="false" customHeight="false" outlineLevel="0" collapsed="false">
      <c r="B50" s="60" t="s">
        <v>384</v>
      </c>
      <c r="C50" s="63"/>
      <c r="D50" s="20" t="n">
        <f aca="false">SUM(D46:D49)</f>
        <v>36648</v>
      </c>
      <c r="E50" s="20" t="n">
        <f aca="false">SUM(E46:E49)</f>
        <v>37590</v>
      </c>
      <c r="F50" s="20" t="n">
        <f aca="false">SUM(F46:F49)</f>
        <v>22682.4</v>
      </c>
    </row>
    <row r="51" customFormat="false" ht="15" hidden="false" customHeight="false" outlineLevel="0" collapsed="false">
      <c r="B51" s="65" t="s">
        <v>385</v>
      </c>
    </row>
    <row r="52" customFormat="false" ht="15" hidden="false" customHeight="false" outlineLevel="0" collapsed="false">
      <c r="B52" s="16" t="s">
        <v>386</v>
      </c>
      <c r="D52" s="17" t="n">
        <v>-2000</v>
      </c>
      <c r="E52" s="17" t="n">
        <v>-2500</v>
      </c>
      <c r="F52" s="17" t="n">
        <v>-3000</v>
      </c>
    </row>
    <row r="53" customFormat="false" ht="15" hidden="false" customHeight="false" outlineLevel="0" collapsed="false">
      <c r="B53" s="60" t="s">
        <v>387</v>
      </c>
      <c r="C53" s="63"/>
      <c r="D53" s="20" t="n">
        <f aca="false">D52</f>
        <v>-2000</v>
      </c>
      <c r="E53" s="20" t="n">
        <f aca="false">E52</f>
        <v>-2500</v>
      </c>
      <c r="F53" s="20" t="n">
        <f aca="false">F52</f>
        <v>-3000</v>
      </c>
    </row>
    <row r="54" customFormat="false" ht="15" hidden="false" customHeight="false" outlineLevel="0" collapsed="false">
      <c r="B54" s="65" t="s">
        <v>388</v>
      </c>
    </row>
    <row r="55" customFormat="false" ht="15" hidden="false" customHeight="false" outlineLevel="0" collapsed="false">
      <c r="B55" s="16" t="s">
        <v>389</v>
      </c>
      <c r="D55" s="26" t="n">
        <f aca="false">D33-C33</f>
        <v>-4000</v>
      </c>
      <c r="E55" s="26" t="n">
        <f aca="false">E33-D33</f>
        <v>-4000</v>
      </c>
      <c r="F55" s="26" t="n">
        <f aca="false">F33-E33</f>
        <v>-4000</v>
      </c>
    </row>
    <row r="56" customFormat="false" ht="15" hidden="false" customHeight="false" outlineLevel="0" collapsed="false">
      <c r="B56" s="16" t="s">
        <v>374</v>
      </c>
      <c r="D56" s="26" t="n">
        <f aca="false">-D38</f>
        <v>-0</v>
      </c>
      <c r="E56" s="26" t="n">
        <f aca="false">-E38</f>
        <v>-0</v>
      </c>
      <c r="F56" s="26" t="n">
        <f aca="false">-F38</f>
        <v>-0</v>
      </c>
    </row>
    <row r="57" customFormat="false" ht="15" hidden="false" customHeight="false" outlineLevel="0" collapsed="false">
      <c r="B57" s="60" t="s">
        <v>390</v>
      </c>
      <c r="C57" s="63"/>
      <c r="D57" s="20" t="n">
        <f aca="false">D55+D56</f>
        <v>-4000</v>
      </c>
      <c r="E57" s="20" t="n">
        <f aca="false">E55+E56</f>
        <v>-4000</v>
      </c>
      <c r="F57" s="20" t="n">
        <f aca="false">F55+F56</f>
        <v>-4000</v>
      </c>
    </row>
    <row r="59" customFormat="false" ht="15" hidden="false" customHeight="false" outlineLevel="0" collapsed="false">
      <c r="B59" s="22" t="s">
        <v>391</v>
      </c>
      <c r="D59" s="18" t="n">
        <f aca="false">D50+D53+D57</f>
        <v>30648</v>
      </c>
      <c r="E59" s="18" t="n">
        <f aca="false">E50+E53+E57</f>
        <v>31090</v>
      </c>
      <c r="F59" s="18" t="n">
        <f aca="false">F50+F53+F57</f>
        <v>15682.4</v>
      </c>
    </row>
    <row r="60" customFormat="false" ht="15" hidden="false" customHeight="false" outlineLevel="0" collapsed="false">
      <c r="B60" s="16" t="s">
        <v>319</v>
      </c>
      <c r="D60" s="26" t="n">
        <f aca="false">C27</f>
        <v>22000</v>
      </c>
      <c r="E60" s="26" t="n">
        <f aca="false">D27</f>
        <v>52648</v>
      </c>
      <c r="F60" s="26" t="n">
        <f aca="false">E27</f>
        <v>83738</v>
      </c>
    </row>
    <row r="61" customFormat="false" ht="15" hidden="false" customHeight="false" outlineLevel="0" collapsed="false">
      <c r="B61" s="64" t="s">
        <v>392</v>
      </c>
      <c r="C61" s="45"/>
      <c r="D61" s="29" t="n">
        <f aca="false">D60+D59</f>
        <v>52648</v>
      </c>
      <c r="E61" s="29" t="n">
        <f aca="false">E60+E59</f>
        <v>83738</v>
      </c>
      <c r="F61" s="29" t="n">
        <f aca="false">F60+F59</f>
        <v>99420.4</v>
      </c>
    </row>
    <row r="63" customFormat="false" ht="69.75" hidden="false" customHeight="true" outlineLevel="0" collapsed="false">
      <c r="B63" s="37" t="s">
        <v>393</v>
      </c>
      <c r="C63" s="37"/>
      <c r="D63" s="37"/>
      <c r="E63" s="37"/>
      <c r="F63" s="37"/>
    </row>
  </sheetData>
  <mergeCells count="6">
    <mergeCell ref="B2:F2"/>
    <mergeCell ref="B3:F3"/>
    <mergeCell ref="B5:F5"/>
    <mergeCell ref="B24:F24"/>
    <mergeCell ref="B43:F43"/>
    <mergeCell ref="B63:F63"/>
  </mergeCells>
  <conditionalFormatting sqref="C41:F41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4"/>
    <col collapsed="false" customWidth="true" hidden="false" outlineLevel="0" max="10" min="10" style="0" width="16"/>
  </cols>
  <sheetData>
    <row r="2" customFormat="false" ht="27.75" hidden="false" customHeight="true" outlineLevel="0" collapsed="false">
      <c r="B2" s="11" t="s">
        <v>394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B3" s="12" t="s">
        <v>28</v>
      </c>
      <c r="C3" s="12"/>
      <c r="D3" s="12"/>
      <c r="E3" s="12"/>
      <c r="F3" s="12"/>
      <c r="G3" s="12"/>
      <c r="H3" s="12"/>
      <c r="I3" s="12"/>
      <c r="J3" s="12"/>
    </row>
    <row r="5" customFormat="false" ht="19.5" hidden="false" customHeight="true" outlineLevel="0" collapsed="false">
      <c r="B5" s="13" t="s">
        <v>395</v>
      </c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B6" s="16" t="s">
        <v>396</v>
      </c>
      <c r="C6" s="17" t="n">
        <v>50000</v>
      </c>
    </row>
    <row r="7" customFormat="false" ht="15" hidden="false" customHeight="false" outlineLevel="0" collapsed="false">
      <c r="B7" s="16" t="s">
        <v>397</v>
      </c>
      <c r="C7" s="39" t="n">
        <v>0.01</v>
      </c>
    </row>
    <row r="8" customFormat="false" ht="15" hidden="false" customHeight="false" outlineLevel="0" collapsed="false">
      <c r="B8" s="16" t="s">
        <v>398</v>
      </c>
      <c r="C8" s="39" t="n">
        <v>0.06</v>
      </c>
    </row>
    <row r="9" customFormat="false" ht="15" hidden="false" customHeight="false" outlineLevel="0" collapsed="false">
      <c r="B9" s="16" t="s">
        <v>399</v>
      </c>
      <c r="C9" s="39" t="n">
        <v>0.2</v>
      </c>
    </row>
    <row r="10" customFormat="false" ht="15" hidden="false" customHeight="false" outlineLevel="0" collapsed="false">
      <c r="B10" s="16" t="s">
        <v>400</v>
      </c>
      <c r="C10" s="39" t="n">
        <v>0.35</v>
      </c>
    </row>
    <row r="11" customFormat="false" ht="15" hidden="false" customHeight="false" outlineLevel="0" collapsed="false">
      <c r="B11" s="16" t="s">
        <v>401</v>
      </c>
      <c r="C11" s="39" t="n">
        <v>0.03</v>
      </c>
    </row>
    <row r="13" customFormat="false" ht="19.5" hidden="false" customHeight="true" outlineLevel="0" collapsed="false">
      <c r="B13" s="21" t="s">
        <v>402</v>
      </c>
      <c r="C13" s="21"/>
      <c r="D13" s="21"/>
      <c r="E13" s="21"/>
      <c r="F13" s="21"/>
      <c r="G13" s="21"/>
      <c r="H13" s="21"/>
      <c r="I13" s="21"/>
      <c r="J13" s="21"/>
    </row>
    <row r="14" customFormat="false" ht="23.85" hidden="false" customHeight="false" outlineLevel="0" collapsed="false">
      <c r="B14" s="15" t="s">
        <v>403</v>
      </c>
      <c r="C14" s="15" t="s">
        <v>404</v>
      </c>
      <c r="D14" s="15" t="s">
        <v>405</v>
      </c>
      <c r="E14" s="15" t="s">
        <v>406</v>
      </c>
      <c r="F14" s="15" t="s">
        <v>407</v>
      </c>
      <c r="G14" s="15" t="s">
        <v>408</v>
      </c>
      <c r="H14" s="15" t="s">
        <v>409</v>
      </c>
      <c r="I14" s="15" t="s">
        <v>410</v>
      </c>
      <c r="J14" s="15" t="s">
        <v>411</v>
      </c>
      <c r="K14" s="15" t="s">
        <v>412</v>
      </c>
    </row>
    <row r="15" customFormat="false" ht="15" hidden="false" customHeight="false" outlineLevel="0" collapsed="false">
      <c r="B15" s="48" t="s">
        <v>413</v>
      </c>
      <c r="C15" s="52" t="n">
        <v>76.8</v>
      </c>
      <c r="D15" s="52" t="n">
        <v>2.15</v>
      </c>
      <c r="E15" s="50" t="n">
        <v>1.5</v>
      </c>
      <c r="F15" s="66" t="n">
        <f aca="false">C15-(D15*E15)</f>
        <v>73.575</v>
      </c>
      <c r="G15" s="66" t="n">
        <f aca="false">C15-F15</f>
        <v>3.22499999999999</v>
      </c>
      <c r="H15" s="34" t="n">
        <f aca="false">FLOOR(($C$6*$C$7)/G15,1)</f>
        <v>155</v>
      </c>
      <c r="I15" s="34" t="n">
        <f aca="false">FLOOR(($C$6*$C$9)/C15,1)</f>
        <v>130</v>
      </c>
      <c r="J15" s="41" t="n">
        <f aca="false">MIN(H15,I15)</f>
        <v>130</v>
      </c>
      <c r="K15" s="18" t="n">
        <f aca="false">J15*G15</f>
        <v>419.249999999999</v>
      </c>
    </row>
    <row r="16" customFormat="false" ht="15" hidden="false" customHeight="false" outlineLevel="0" collapsed="false">
      <c r="B16" s="48" t="s">
        <v>414</v>
      </c>
      <c r="C16" s="52" t="n">
        <v>542</v>
      </c>
      <c r="D16" s="52" t="n">
        <v>4.8</v>
      </c>
      <c r="E16" s="50" t="n">
        <v>2</v>
      </c>
      <c r="F16" s="66" t="n">
        <f aca="false">C16-(D16*E16)</f>
        <v>532.4</v>
      </c>
      <c r="G16" s="66" t="n">
        <f aca="false">C16-F16</f>
        <v>9.60000000000002</v>
      </c>
      <c r="H16" s="34" t="n">
        <f aca="false">FLOOR(($C$6*$C$7)/G16,1)</f>
        <v>52</v>
      </c>
      <c r="I16" s="34" t="n">
        <f aca="false">FLOOR(($C$6*$C$9)/C16,1)</f>
        <v>18</v>
      </c>
      <c r="J16" s="41" t="n">
        <f aca="false">MIN(H16,I16)</f>
        <v>18</v>
      </c>
      <c r="K16" s="18" t="n">
        <f aca="false">J16*G16</f>
        <v>172.8</v>
      </c>
    </row>
    <row r="17" customFormat="false" ht="15" hidden="false" customHeight="false" outlineLevel="0" collapsed="false">
      <c r="B17" s="48" t="s">
        <v>415</v>
      </c>
      <c r="C17" s="52" t="n">
        <v>478.5</v>
      </c>
      <c r="D17" s="52" t="n">
        <v>5.6</v>
      </c>
      <c r="E17" s="50" t="n">
        <v>1.5</v>
      </c>
      <c r="F17" s="66" t="n">
        <f aca="false">C17-(D17*E17)</f>
        <v>470.1</v>
      </c>
      <c r="G17" s="66" t="n">
        <f aca="false">C17-F17</f>
        <v>8.39999999999998</v>
      </c>
      <c r="H17" s="34" t="n">
        <f aca="false">FLOOR(($C$6*$C$7)/G17,1)</f>
        <v>59</v>
      </c>
      <c r="I17" s="34" t="n">
        <f aca="false">FLOOR(($C$6*$C$9)/C17,1)</f>
        <v>20</v>
      </c>
      <c r="J17" s="41" t="n">
        <f aca="false">MIN(H17,I17)</f>
        <v>20</v>
      </c>
      <c r="K17" s="18" t="n">
        <f aca="false">J17*G17</f>
        <v>168</v>
      </c>
    </row>
    <row r="18" customFormat="false" ht="15" hidden="false" customHeight="false" outlineLevel="0" collapsed="false">
      <c r="B18" s="22" t="s">
        <v>416</v>
      </c>
      <c r="K18" s="18" t="n">
        <f aca="false">SUM(K15:K17)</f>
        <v>760.049999999999</v>
      </c>
    </row>
    <row r="19" customFormat="false" ht="15" hidden="false" customHeight="false" outlineLevel="0" collapsed="false">
      <c r="B19" s="30" t="s">
        <v>417</v>
      </c>
      <c r="K19" s="31" t="n">
        <f aca="false">IFERROR(K18/C6,0)</f>
        <v>0.015201</v>
      </c>
    </row>
    <row r="20" customFormat="false" ht="15" hidden="false" customHeight="false" outlineLevel="0" collapsed="false">
      <c r="B20" s="67" t="s">
        <v>418</v>
      </c>
      <c r="K20" s="68" t="str">
        <f aca="false">IF(K19&gt;C8,"OVER LIMIT — Reduce Exposure","Within Limit")</f>
        <v>Within Limit</v>
      </c>
    </row>
    <row r="22" customFormat="false" ht="19.5" hidden="false" customHeight="true" outlineLevel="0" collapsed="false">
      <c r="B22" s="8" t="s">
        <v>419</v>
      </c>
      <c r="C22" s="8"/>
      <c r="D22" s="8"/>
      <c r="E22" s="8"/>
      <c r="F22" s="8"/>
      <c r="G22" s="8"/>
      <c r="H22" s="8"/>
      <c r="I22" s="8"/>
      <c r="J22" s="8"/>
    </row>
    <row r="23" customFormat="false" ht="23.85" hidden="false" customHeight="false" outlineLevel="0" collapsed="false">
      <c r="B23" s="15" t="s">
        <v>420</v>
      </c>
      <c r="C23" s="15" t="s">
        <v>421</v>
      </c>
    </row>
    <row r="24" customFormat="false" ht="15" hidden="false" customHeight="false" outlineLevel="0" collapsed="false">
      <c r="B24" s="39" t="n">
        <v>0.05</v>
      </c>
      <c r="C24" s="31" t="n">
        <f aca="false">B24/(1-B24)</f>
        <v>0.0526315789473684</v>
      </c>
    </row>
    <row r="25" customFormat="false" ht="15" hidden="false" customHeight="false" outlineLevel="0" collapsed="false">
      <c r="B25" s="39" t="n">
        <v>0.1</v>
      </c>
      <c r="C25" s="31" t="n">
        <f aca="false">B25/(1-B25)</f>
        <v>0.111111111111111</v>
      </c>
    </row>
    <row r="26" customFormat="false" ht="15" hidden="false" customHeight="false" outlineLevel="0" collapsed="false">
      <c r="B26" s="39" t="n">
        <v>0.15</v>
      </c>
      <c r="C26" s="31" t="n">
        <f aca="false">B26/(1-B26)</f>
        <v>0.176470588235294</v>
      </c>
    </row>
    <row r="27" customFormat="false" ht="15" hidden="false" customHeight="false" outlineLevel="0" collapsed="false">
      <c r="B27" s="39" t="n">
        <v>0.2</v>
      </c>
      <c r="C27" s="31" t="n">
        <f aca="false">B27/(1-B27)</f>
        <v>0.25</v>
      </c>
    </row>
    <row r="28" customFormat="false" ht="15" hidden="false" customHeight="false" outlineLevel="0" collapsed="false">
      <c r="B28" s="39" t="n">
        <v>0.25</v>
      </c>
      <c r="C28" s="31" t="n">
        <f aca="false">B28/(1-B28)</f>
        <v>0.333333333333333</v>
      </c>
    </row>
    <row r="29" customFormat="false" ht="15" hidden="false" customHeight="false" outlineLevel="0" collapsed="false">
      <c r="B29" s="39" t="n">
        <v>0.3</v>
      </c>
      <c r="C29" s="31" t="n">
        <f aca="false">B29/(1-B29)</f>
        <v>0.428571428571429</v>
      </c>
    </row>
    <row r="30" customFormat="false" ht="15" hidden="false" customHeight="false" outlineLevel="0" collapsed="false">
      <c r="B30" s="39" t="n">
        <v>0.4</v>
      </c>
      <c r="C30" s="31" t="n">
        <f aca="false">B30/(1-B30)</f>
        <v>0.666666666666667</v>
      </c>
    </row>
    <row r="31" customFormat="false" ht="15" hidden="false" customHeight="false" outlineLevel="0" collapsed="false">
      <c r="B31" s="39" t="n">
        <v>0.5</v>
      </c>
      <c r="C31" s="31" t="n">
        <f aca="false">B31/(1-B31)</f>
        <v>1</v>
      </c>
    </row>
    <row r="32" customFormat="false" ht="15" hidden="false" customHeight="false" outlineLevel="0" collapsed="false">
      <c r="B32" s="39" t="n">
        <v>0.6</v>
      </c>
      <c r="C32" s="31" t="n">
        <f aca="false">B32/(1-B32)</f>
        <v>1.5</v>
      </c>
    </row>
    <row r="34" customFormat="false" ht="84.75" hidden="false" customHeight="true" outlineLevel="0" collapsed="false">
      <c r="B34" s="37" t="s">
        <v>422</v>
      </c>
      <c r="C34" s="37"/>
      <c r="D34" s="37"/>
      <c r="E34" s="37"/>
      <c r="F34" s="37"/>
      <c r="G34" s="37"/>
      <c r="H34" s="37"/>
      <c r="I34" s="37"/>
      <c r="J34" s="37"/>
    </row>
  </sheetData>
  <mergeCells count="6">
    <mergeCell ref="B2:J2"/>
    <mergeCell ref="B3:J3"/>
    <mergeCell ref="B5:J5"/>
    <mergeCell ref="B13:J13"/>
    <mergeCell ref="B22:J22"/>
    <mergeCell ref="B34:J34"/>
  </mergeCells>
  <conditionalFormatting sqref="K20">
    <cfRule type="cellIs" priority="2" operator="equal" aboveAverage="0" equalAverage="0" bottom="0" percent="0" rank="0" text="" dxfId="1">
      <formula>"Within Limit"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2026-06-21T18:40:09Z</dcterms:created>
  <dc:creator>openpyxl</dc:creator>
  <dc:description/>
  <dc:language>en-US</dc:language>
  <cp:lastModifiedBy/>
  <dcterms:modified xsi:type="dcterms:W3CDTF">2026-06-21T18:40:16Z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
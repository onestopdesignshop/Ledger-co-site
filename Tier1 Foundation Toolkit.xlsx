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01 Budgeting System" sheetId="2" state="visible" r:id="rId4"/>
    <sheet name="02 Debt Payoff Optimizer" sheetId="3" state="visible" r:id="rId5"/>
    <sheet name="03 Retirement Projector" sheetId="4" state="visible" r:id="rId6"/>
    <sheet name="04 Tax-Loss Harvesting" sheetId="5" state="visible" r:id="rId7"/>
    <sheet name="05 Backtesting Framework" sheetId="6" state="visible" r:id="rId8"/>
    <sheet name="06 Strategy Journal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<sst xmlns="http://schemas.openxmlformats.org/spreadsheetml/2006/main" count="250" uniqueCount="230">
  <si>
    <t xml:space="preserve">LEDGER &amp; CO.</t>
  </si>
  <si>
    <t xml:space="preserve">CAPITAL SYSTEMS SUITE</t>
  </si>
  <si>
    <t xml:space="preserve">FOUNDATION TIER</t>
  </si>
  <si>
    <t xml:space="preserve">Personal Wealth Infrastructure — Excel Toolkit</t>
  </si>
  <si>
    <t xml:space="preserve">WHAT'S INSIDE</t>
  </si>
  <si>
    <t xml:space="preserve">01  Budgeting System</t>
  </si>
  <si>
    <t xml:space="preserve">Zero-based monthly budget with rolling 12-month tracking</t>
  </si>
  <si>
    <t xml:space="preserve">02  Debt Payoff Optimizer</t>
  </si>
  <si>
    <t xml:space="preserve">Avalanche vs. snowball comparison with payoff timeline</t>
  </si>
  <si>
    <t xml:space="preserve">03  Retirement Projector</t>
  </si>
  <si>
    <t xml:space="preserve">Compound growth modeling to target retirement age</t>
  </si>
  <si>
    <t xml:space="preserve">04  Tax-Loss Harvesting Calculator</t>
  </si>
  <si>
    <t xml:space="preserve">Realized/unrealized gain-loss matching and carryforward</t>
  </si>
  <si>
    <t xml:space="preserve">05  Backtesting Framework Template</t>
  </si>
  <si>
    <t xml:space="preserve">Structured trade hypothesis testing log</t>
  </si>
  <si>
    <t xml:space="preserve">06  Strategy Journal System</t>
  </si>
  <si>
    <t xml:space="preserve">Systematic trade and decision journal with review cadence</t>
  </si>
  <si>
    <t xml:space="preserve">HOW TO USE THIS WORKBOOK</t>
  </si>
  <si>
    <t xml:space="preserve">•  Gold-shaded cells are inputs — edit these with your own numbers.</t>
  </si>
  <si>
    <t xml:space="preserve">•  White cells contain formulas — these update automatically. Do not overwrite.</t>
  </si>
  <si>
    <t xml:space="preserve">•  Each module is a separate tab. Navigate using the tabs at the bottom of the workbook.</t>
  </si>
  <si>
    <t xml:space="preserve">•  Start with Module 01 (Budgeting) to establish your baseline cash flow before moving to other modules.</t>
  </si>
  <si>
    <t xml:space="preserve">•  This toolkit provides a structured framework for organizing your finances. It is not personalized financial, tax, or legal advice.</t>
  </si>
  <si>
    <t xml:space="preserve">© Ledger &amp; Co. — Licensed for personal use only. Not for resale or redistribution.</t>
  </si>
  <si>
    <t xml:space="preserve">MODULE 01 — BUDGETING SYSTEM</t>
  </si>
  <si>
    <t xml:space="preserve">INCOME</t>
  </si>
  <si>
    <t xml:space="preserve">Category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</si>
  <si>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</si>
  <si>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</si>
  <si>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</si>
  <si>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</si>
  <si>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</si>
  <si>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</si>
  <si>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</si>
  <si>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</si>
  <si>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</si>
  <si>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</si>
  <si>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</si>
  <si>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</si>
  <si>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Annual Total</t>
  </si>
  <si>
    <t xml:space="preserve">Primary Salary (net)</t>
  </si>
  <si>
    <t xml:space="preserve">Secondary Income</t>
  </si>
  <si>
    <t xml:space="preserve">Business/Side Income</t>
  </si>
  <si>
    <t xml:space="preserve">Investment Income</t>
  </si>
  <si>
    <t xml:space="preserve">Other Income</t>
  </si>
  <si>
    <t xml:space="preserve">TOTAL INCOME</t>
  </si>
  <si>
    <t xml:space="preserve">FIXED &amp; VARIABLE EXPENSES</t>
  </si>
  <si>
    <t xml:space="preserve">Housing</t>
  </si>
  <si>
    <t xml:space="preserve">Rent/Mortgage</t>
  </si>
  <si>
    <t xml:space="preserve">Property Tax/Insurance</t>
  </si>
  <si>
    <t xml:space="preserve">Utilities</t>
  </si>
  <si>
    <t xml:space="preserve">Maintenance/HOA</t>
  </si>
  <si>
    <t xml:space="preserve">Housing Subtotal</t>
  </si>
  <si>
    <t xml:space="preserve">Transportation</t>
  </si>
  <si>
    <t xml:space="preserve">Car Payment</t>
  </si>
  <si>
    <t xml:space="preserve">Insurance</t>
  </si>
  <si>
    <t xml:space="preserve">Fuel/Transit</t>
  </si>
  <si>
    <t xml:space="preserve">Maintenance</t>
  </si>
  <si>
    <t xml:space="preserve">Transportation Subtotal</t>
  </si>
  <si>
    <t xml:space="preserve">Living Essentials</t>
  </si>
  <si>
    <t xml:space="preserve">Groceries</t>
  </si>
  <si>
    <t xml:space="preserve">Healthcare/Insurance</t>
  </si>
  <si>
    <t xml:space="preserve">Phone/Internet</t>
  </si>
  <si>
    <t xml:space="preserve">Childcare</t>
  </si>
  <si>
    <t xml:space="preserve">Living Essentials Subtotal</t>
  </si>
  <si>
    <t xml:space="preserve">Debt Service</t>
  </si>
  <si>
    <t xml:space="preserve">Credit Cards</t>
  </si>
  <si>
    <t xml:space="preserve">Student Loans</t>
  </si>
  <si>
    <t xml:space="preserve">Personal Loans</t>
  </si>
  <si>
    <t xml:space="preserve">Debt Service Subtotal</t>
  </si>
  <si>
    <t xml:space="preserve">Discretionary</t>
  </si>
  <si>
    <t xml:space="preserve">Dining Out</t>
  </si>
  <si>
    <t xml:space="preserve">Entertainment</t>
  </si>
  <si>
    <t xml:space="preserve">Subscriptions</t>
  </si>
  <si>
    <t xml:space="preserve">Shopping</t>
  </si>
  <si>
    <t xml:space="preserve">Travel</t>
  </si>
  <si>
    <t xml:space="preserve">Discretionary Subtotal</t>
  </si>
  <si>
    <t xml:space="preserve">Savings &amp; Investing</t>
  </si>
  <si>
    <t xml:space="preserve">Emergency Fund</t>
  </si>
  <si>
    <t xml:space="preserve">Retirement (401k/IRA)</t>
  </si>
  <si>
    <t xml:space="preserve">Brokerage</t>
  </si>
  <si>
    <t xml:space="preserve">Other Savings Goals</t>
  </si>
  <si>
    <t xml:space="preserve">Savings &amp; Investing Subtotal</t>
  </si>
  <si>
    <t xml:space="preserve">TOTAL EXPENSES</t>
  </si>
  <si>
    <t xml:space="preserve">NET CASH FLOW</t>
  </si>
  <si>
    <t xml:space="preserve">Net Surplus / (Deficit)</t>
  </si>
  <si>
    <t xml:space="preserve">Savings Rate (%)</t>
  </si>
  <si>
    <t xml:space="preserve">MODULE 02 — DEBT PAYOFF OPTIMIZER</t>
  </si>
  <si>
    <t xml:space="preserve">Avalanche vs. Snowball comparison with payoff timeline</t>
  </si>
  <si>
    <t xml:space="preserve">DEBT INVENTORY</t>
  </si>
  <si>
    <t xml:space="preserve">Debt Name</t>
  </si>
  <si>
    <t xml:space="preserve">Balance</t>
  </si>
  <si>
    <t xml:space="preserve">APR (%)</t>
  </si>
  <si>
    <t xml:space="preserve">Min. Payment</t>
  </si>
  <si>
    <t xml:space="preserve">Strategy Priority
(Avalanche)</t>
  </si>
  <si>
    <t xml:space="preserve">Strategy Priority
(Snowball)</t>
  </si>
  <si>
    <t xml:space="preserve">Months to Payoff
(Min. Only)</t>
  </si>
  <si>
    <t xml:space="preserve">Total Interest
(Min. Only)</t>
  </si>
  <si>
    <t xml:space="preserve">Credit Card — Visa</t>
  </si>
  <si>
    <t xml:space="preserve">Credit Card — Amex</t>
  </si>
  <si>
    <t xml:space="preserve">Auto Loan</t>
  </si>
  <si>
    <t xml:space="preserve">Student Loan — Federal</t>
  </si>
  <si>
    <t xml:space="preserve">Personal Loan</t>
  </si>
  <si>
    <t xml:space="preserve">TOTAL</t>
  </si>
  <si>
    <t xml:space="preserve">Extra Monthly Payment Available</t>
  </si>
  <si>
    <t xml:space="preserve">← Amount above minimums to apply via Avalanche or Snowball method</t>
  </si>
  <si>
    <t xml:space="preserve">STRATEGY COMPARISON SUMMARY</t>
  </si>
  <si>
    <t xml:space="preserve">Strategy</t>
  </si>
  <si>
    <t xml:space="preserve">Payoff Order Logic</t>
  </si>
  <si>
    <t xml:space="preserve">Est. Months to Debt-Free</t>
  </si>
  <si>
    <t xml:space="preserve">Est. Total Interest Paid</t>
  </si>
  <si>
    <t xml:space="preserve">Interest Saved vs. Minimums</t>
  </si>
  <si>
    <t xml:space="preserve">Avalanche</t>
  </si>
  <si>
    <t xml:space="preserve">Highest APR first</t>
  </si>
  <si>
    <t xml:space="preserve">Snowball</t>
  </si>
  <si>
    <t xml:space="preserve">Smallest balance first</t>
  </si>
  <si>
    <t xml:space="preserve">Methodology note: Avalanche minimizes total interest by targeting the highest-APR debt first using all extra payment capacity; Snowball builds momentum by eliminating the smallest balance first. Estimates above use simplified amortization approximations for comparison purposes. For an exact month-by-month amortization schedule, extend the model using the per-debt APR and balance figures above with a standard amortization formula, recalculating extra-payment rollover each time a debt is paid in full.</t>
  </si>
  <si>
    <t xml:space="preserve">MODULE 03 — RETIREMENT PROJECTOR</t>
  </si>
  <si>
    <t xml:space="preserve">ASSUMPTIONS</t>
  </si>
  <si>
    <t xml:space="preserve">Current Age</t>
  </si>
  <si>
    <t xml:space="preserve">Target Retirement Age</t>
  </si>
  <si>
    <t xml:space="preserve">Current Retirement Savings</t>
  </si>
  <si>
    <t xml:space="preserve">Monthly Contribution</t>
  </si>
  <si>
    <t xml:space="preserve">Annual Contribution Growth Rate</t>
  </si>
  <si>
    <t xml:space="preserve">Expected Annual Return (pre-retirement)</t>
  </si>
  <si>
    <t xml:space="preserve">Expected Annual Return (post-retirement)</t>
  </si>
  <si>
    <t xml:space="preserve">Expected Annual Inflation Rate</t>
  </si>
  <si>
    <t xml:space="preserve">Desired Annual Retirement Income (today's $)</t>
  </si>
  <si>
    <t xml:space="preserve">Expected Years in Retirement</t>
  </si>
  <si>
    <t xml:space="preserve">KEY OUTPUTS</t>
  </si>
  <si>
    <t xml:space="preserve">Years Until Retirement</t>
  </si>
  <si>
    <t xml:space="preserve">Future Annual Income Need (inflation-adjusted)</t>
  </si>
  <si>
    <t xml:space="preserve">Required Nest Egg (4% Rule, inflation-adjusted)</t>
  </si>
  <si>
    <t xml:space="preserve">Required Nest Egg (Annuity Method, post-return)</t>
  </si>
  <si>
    <t xml:space="preserve">Projected Nest Egg at Retirement</t>
  </si>
  <si>
    <t xml:space="preserve">Surplus / (Shortfall) vs. Annuity Target</t>
  </si>
  <si>
    <t xml:space="preserve">YEAR-BY-YEAR PROJECTION</t>
  </si>
  <si>
    <t xml:space="preserve">Year</t>
  </si>
  <si>
    <t xml:space="preserve">Age</t>
  </si>
  <si>
    <t xml:space="preserve">Beginning Balance</t>
  </si>
  <si>
    <t xml:space="preserve">Annual Contribution</t>
  </si>
  <si>
    <t xml:space="preserve">Investment Growth</t>
  </si>
  <si>
    <t xml:space="preserve">Ending Balance</t>
  </si>
  <si>
    <t xml:space="preserve">Methodology: Pre-retirement years compound monthly contributions (grown annually by the contribution growth rate) at the pre-retirement return assumption using a mid-year convention. Post-retirement years assume the post-retirement return rate with no further contributions. The required nest egg is shown two ways — the simplified 4% Rule and a more precise annuity-depletion calculation over your expected retirement horizon. Schedule rows beyond your target retirement age continue compounding at the post-retirement rate for reference; extend or trim the 40-year schedule as needed for your time horizon.</t>
  </si>
  <si>
    <t xml:space="preserve">MODULE 04 — TAX-LOSS HARVESTING CALCULATOR</t>
  </si>
  <si>
    <t xml:space="preserve">Realized/unrealized gain-loss matching and carryforward tracking</t>
  </si>
  <si>
    <t xml:space="preserve">POSITION-LEVEL GAIN/LOSS LOG</t>
  </si>
  <si>
    <t xml:space="preserve">Security</t>
  </si>
  <si>
    <t xml:space="preserve">Shares</t>
  </si>
  <si>
    <t xml:space="preserve">Cost Basis
(Total)</t>
  </si>
  <si>
    <t xml:space="preserve">Current Value
(Total)</t>
  </si>
  <si>
    <t xml:space="preserve">Unrealized
Gain/(Loss)</t>
  </si>
  <si>
    <t xml:space="preserve">Holding Period</t>
  </si>
  <si>
    <t xml:space="preserve">Term</t>
  </si>
  <si>
    <t xml:space="preserve">Action</t>
  </si>
  <si>
    <t xml:space="preserve">Realized
Gain/(Loss)</t>
  </si>
  <si>
    <t xml:space="preserve">Tech Growth ETF</t>
  </si>
  <si>
    <t xml:space="preserve">REIT Index Fund</t>
  </si>
  <si>
    <t xml:space="preserve">International Equity Fund</t>
  </si>
  <si>
    <t xml:space="preserve">Bond Fund — Aggregate</t>
  </si>
  <si>
    <t xml:space="preserve">Small-Cap Value Fund</t>
  </si>
  <si>
    <t xml:space="preserve">ANNUAL NETTING &amp; CARRYFORWARD</t>
  </si>
  <si>
    <t xml:space="preserve">Total Harvested Losses (this year)</t>
  </si>
  <si>
    <t xml:space="preserve">Short-Term Capital Gains (realized elsewhere, input)</t>
  </si>
  <si>
    <t xml:space="preserve">Long-Term Capital Gains (realized elsewhere, input)</t>
  </si>
  <si>
    <t xml:space="preserve">Prior-Year Capital Loss Carryforward (input)</t>
  </si>
  <si>
    <t xml:space="preserve">Net Capital Gain/(Loss) Before Annual Deduction Limit</t>
  </si>
  <si>
    <t xml:space="preserve">Annual Ordinary-Income Offset Limit (IRS: $3,000 / $1,500 MFS)</t>
  </si>
  <si>
    <t xml:space="preserve">Usable Loss This Year (against ordinary income)</t>
  </si>
  <si>
    <t xml:space="preserve">Loss Carryforward to Next Year</t>
  </si>
  <si>
    <t xml:space="preserve">Methodology: Positions flagged "Harvest Candidate" have unrealized losses. Net all realized short- and long-term gains/losses plus any harvested losses and prior carryforward. U.S. tax law currently allows up to $3,000 ($1,500 if married filing separately) of net capital loss to offset ordinary income annually; remaining losses carry forward indefinitely. Be mindful of wash-sale rules — repurchasing a substantially identical security within 30 days before or after a harvest sale disallows the loss. This calculator is a planning aid, not tax advice; confirm treatment with a qualified tax professional before filing.</t>
  </si>
  <si>
    <t xml:space="preserve">MODULE 05 — BACKTESTING FRAMEWORK TEMPLATE</t>
  </si>
  <si>
    <t xml:space="preserve">STRATEGY HYPOTHESIS DEFINITION</t>
  </si>
  <si>
    <t xml:space="preserve">Strategy Name</t>
  </si>
  <si>
    <t xml:space="preserve">e.g. RSI Mean-Reversion, 5-min candles</t>
  </si>
  <si>
    <t xml:space="preserve">Hypothesis</t>
  </si>
  <si>
    <t xml:space="preserve">e.g. Price reverts to mean after RSI(14) &lt; 30 on 5-min timeframe in low-volatility regime</t>
  </si>
  <si>
    <t xml:space="preserve">Entry Rule</t>
  </si>
  <si>
    <t xml:space="preserve">e.g. Long when RSI(14) crosses above 30 AND price &gt; 20-period VWAP</t>
  </si>
  <si>
    <t xml:space="preserve">Exit Rule</t>
  </si>
  <si>
    <t xml:space="preserve">e.g. Exit at 1.5x ATR(14) profit target OR 1x ATR(14) stop-loss OR EOD</t>
  </si>
  <si>
    <t xml:space="preserve">Position Sizing Rule</t>
  </si>
  <si>
    <t xml:space="preserve">e.g. Risk 1% of account equity per trade, sized to stop distance</t>
  </si>
  <si>
    <t xml:space="preserve">Universe / Instruments Tested</t>
  </si>
  <si>
    <t xml:space="preserve">e.g. TQQQ, SPY, QQQ</t>
  </si>
  <si>
    <t xml:space="preserve">Test Period</t>
  </si>
  <si>
    <t xml:space="preserve">e.g. Jan 2023 – Dec 2025</t>
  </si>
  <si>
    <t xml:space="preserve">Timeframe</t>
  </si>
  <si>
    <t xml:space="preserve">e.g. 5-minute candles</t>
  </si>
  <si>
    <t xml:space="preserve">BACKTEST RESULTS LOG</t>
  </si>
  <si>
    <t xml:space="preserve">Run #</t>
  </si>
  <si>
    <t xml:space="preserve">Date Tested</t>
  </si>
  <si>
    <t xml:space="preserve">Param. Set</t>
  </si>
  <si>
    <t xml:space="preserve"># Trades</t>
  </si>
  <si>
    <t xml:space="preserve">Win Rate</t>
  </si>
  <si>
    <t xml:space="preserve">Avg Win</t>
  </si>
  <si>
    <t xml:space="preserve">Avg Loss</t>
  </si>
  <si>
    <t xml:space="preserve">Profit Factor</t>
  </si>
  <si>
    <t xml:space="preserve">Max Drawdown</t>
  </si>
  <si>
    <t xml:space="preserve">Sharpe Ratio</t>
  </si>
  <si>
    <t xml:space="preserve">Net Return</t>
  </si>
  <si>
    <t xml:space="preserve">Verdict</t>
  </si>
  <si>
    <t xml:space="preserve">Methodology: Define one hypothesis, test multiple parameter sets against it, and log results systematically rather than relying on memory or screenshots. Profit Factor = (Win Rate × Avg Win) / (Loss Rate × |Avg Loss|); a Profit Factor below 1.0 means the strategy loses money over the test period regardless of win rate. Promotion criteria above (Profit Factor ≥ 1.5, Sharpe ≥ 1, Max Drawdown ≤ 20%) are a conservative starting framework — adjust thresholds to match your risk tolerance and capital base. Always validate on out-of-sample data and paper-trade before committing real capital; historical backtest performance does not guarantee future results.</t>
  </si>
  <si>
    <t xml:space="preserve">MODULE 06 — STRATEGY JOURNAL SYSTEM</t>
  </si>
  <si>
    <t xml:space="preserve">TRADE / DECISION LOG</t>
  </si>
  <si>
    <t xml:space="preserve">Date</t>
  </si>
  <si>
    <t xml:space="preserve">Time</t>
  </si>
  <si>
    <t xml:space="preserve">Instrument</t>
  </si>
  <si>
    <t xml:space="preserve">Side</t>
  </si>
  <si>
    <t xml:space="preserve">Entry</t>
  </si>
  <si>
    <t xml:space="preserve">Exit</t>
  </si>
  <si>
    <t xml:space="preserve">Size</t>
  </si>
  <si>
    <t xml:space="preserve">Result
($)</t>
  </si>
  <si>
    <t xml:space="preserve">Result
(R-multiple)</t>
  </si>
  <si>
    <t xml:space="preserve">Setup / Reason</t>
  </si>
  <si>
    <t xml:space="preserve">Lesson / Note</t>
  </si>
  <si>
    <t xml:space="preserve">Emotional
State (1-5)</t>
  </si>
  <si>
    <t xml:space="preserve">PERFORMANCE STATISTICS (AUTO-CALCULATED)</t>
  </si>
  <si>
    <t xml:space="preserve">Total Trades Logged</t>
  </si>
  <si>
    <t xml:space="preserve">Average Win ($)</t>
  </si>
  <si>
    <t xml:space="preserve">Average Loss ($)</t>
  </si>
  <si>
    <t xml:space="preserve">Average R-Multiple</t>
  </si>
  <si>
    <t xml:space="preserve">Total Net Result ($)</t>
  </si>
  <si>
    <t xml:space="preserve">Average Emotional State</t>
  </si>
  <si>
    <t xml:space="preserve">WEEKLY / MONTHLY REVIEW CADENCE</t>
  </si>
  <si>
    <t xml:space="preserve">1. What pattern shows up most across my winning trades this period?</t>
  </si>
  <si>
    <t xml:space="preserve">2. What pattern shows up most across my losing trades this period?</t>
  </si>
  <si>
    <t xml:space="preserve">3. Did I follow my entry/exit/sizing rules exactly, or did I deviate? Where, and why?</t>
  </si>
  <si>
    <t xml:space="preserve">4. What is the single highest-leverage adjustment I can make next period?</t>
  </si>
  <si>
    <t xml:space="preserve">5. Is my emotional state trending in a direction that correlates with performance?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</si>
</sst>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\$#,##0;&quot;($&quot;#,##0\);\-"/>
    <numFmt numFmtId="166" formatCode="0.0%;\(0.0%\);\-"/>
    <numFmt numFmtId="167" formatCode="0.00%;\(0.00%\);\-"/>
    <numFmt numFmtId="168" formatCode="0"/>
    <numFmt numFmtId="169" formatCode="mm/dd/yyyy"/>
    <numFmt numFmtId="170" formatCode="0.00"/>
    <numFmt numFmtId="171" formatCode="hh:mm"/>
    <numFmt numFmtId="172" formatCode="\$#,##0.00;&quot;($&quot;#,##0.00\);\-"/>
    <numFmt numFmtId="173" formatCode="0.0"/>
  </numFmts>
  <fonts count="2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8"/>
      <color rgb="FF1B2A4A"/>
      <name val="Calibri"/>
      <family val="0"/>
      <charset val="1"/>
    </font>
    <font>
      <b val="true"/>
      <sz val="16"/>
      <color rgb="FFC9A227"/>
      <name val="Calibri"/>
      <family val="0"/>
      <charset val="1"/>
    </font>
    <font>
      <b val="true"/>
      <sz val="13"/>
      <color rgb="FFFFFFFF"/>
      <name val="Calibri"/>
      <family val="0"/>
      <charset val="1"/>
    </font>
    <font>
      <i val="true"/>
      <sz val="12"/>
      <color rgb="FF44546A"/>
      <name val="Calibri"/>
      <family val="0"/>
      <charset val="1"/>
    </font>
    <font>
      <b val="true"/>
      <sz val="12"/>
      <color rgb="FF1B2A4A"/>
      <name val="Calibri"/>
      <family val="0"/>
      <charset val="1"/>
    </font>
    <font>
      <b val="true"/>
      <sz val="10.5"/>
      <color rgb="FF1B2A4A"/>
      <name val="Calibri"/>
      <family val="0"/>
      <charset val="1"/>
    </font>
    <font>
      <i val="true"/>
      <sz val="9.5"/>
      <color rgb="FF44546A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9.5"/>
      <color rgb="FF000000"/>
      <name val="Calibri"/>
      <family val="0"/>
      <charset val="1"/>
    </font>
    <font>
      <i val="true"/>
      <sz val="8.5"/>
      <color rgb="FF44546A"/>
      <name val="Calibri"/>
      <family val="0"/>
      <charset val="1"/>
    </font>
    <font>
      <b val="true"/>
      <sz val="16"/>
      <color rgb="FFFFFFFF"/>
      <name val="Calibri"/>
      <family val="0"/>
      <charset val="1"/>
    </font>
    <font>
      <i val="true"/>
      <sz val="10"/>
      <color rgb="FF44546A"/>
      <name val="Calibri"/>
      <family val="0"/>
      <charset val="1"/>
    </font>
    <font>
      <b val="true"/>
      <sz val="11"/>
      <color rgb="FF1B2A4A"/>
      <name val="Calibri"/>
      <family val="0"/>
      <charset val="1"/>
    </font>
    <font>
      <b val="true"/>
      <sz val="10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0"/>
      <color rgb="FF000000"/>
      <name val="Calibri"/>
      <family val="0"/>
      <charset val="1"/>
    </font>
    <font>
      <sz val="10"/>
      <color rgb="FF0000FF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b val="true"/>
      <i val="true"/>
      <sz val="10"/>
      <color rgb="FF000000"/>
      <name val="Calibri"/>
      <family val="0"/>
      <charset val="1"/>
    </font>
    <font>
      <i val="true"/>
      <sz val="10"/>
      <color rgb="FF000000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i val="true"/>
      <sz val="9"/>
      <color rgb="FF44546A"/>
      <name val="Calibri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44546A"/>
        <bgColor rgb="FF725990"/>
      </patternFill>
    </fill>
    <fill>
      <patternFill patternType="solid">
        <fgColor rgb="FF1B2A4A"/>
        <bgColor rgb="FF003366"/>
      </patternFill>
    </fill>
    <fill>
      <patternFill patternType="solid">
        <fgColor rgb="FFC9A227"/>
        <bgColor rgb="FFDC853E"/>
      </patternFill>
    </fill>
    <fill>
      <patternFill patternType="solid">
        <fgColor rgb="FFF4E9C8"/>
        <bgColor rgb="FFF2F2F2"/>
      </patternFill>
    </fill>
    <fill>
      <patternFill patternType="solid">
        <fgColor rgb="FFF2F2F2"/>
        <bgColor rgb="FFE8ECF3"/>
      </patternFill>
    </fill>
    <fill>
      <patternFill patternType="solid">
        <fgColor rgb="FFE8ECF3"/>
        <bgColor rgb="FFF2F2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1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0" borderId="0" xfId="0" applyFont="true" applyBorder="true" applyAlignment="true" applyProtection="false">
      <alignment horizontal="left" vertical="bottom" textRotation="0" wrapText="true" indent="1" shrinkToFit="false"/>
      <protection locked="true" hidden="false"/>
    </xf>
    <xf numFmtId="164" fontId="13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5" fontId="20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1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2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left" vertical="center" textRotation="0" wrapText="false" indent="2" shrinkToFit="false"/>
      <protection locked="true" hidden="false"/>
    </xf>
    <xf numFmtId="165" fontId="1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6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21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1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1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5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20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8" fontId="20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0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8" fontId="2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1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5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5" borderId="2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9" fontId="20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20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20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0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5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6" fontId="2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2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2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5" borderId="2" xfId="0" applyFont="true" applyBorder="true" applyAlignment="true" applyProtection="false">
      <alignment horizontal="left" vertical="bottom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FFC7CE"/>
        </patternFill>
      </fill>
    </dxf>
    <dxf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A64F"/>
      <rgbColor rgb="FF800080"/>
      <rgbColor rgb="FF008080"/>
      <rgbColor rgb="FFBFBFBF"/>
      <rgbColor rgb="FF878787"/>
      <rgbColor rgb="FF93A9CE"/>
      <rgbColor rgb="FFAB4744"/>
      <rgbColor rgb="FFF2F2F2"/>
      <rgbColor rgb="FFE8ECF3"/>
      <rgbColor rgb="FF660066"/>
      <rgbColor rgb="FFDC853E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B8CD97"/>
      <rgbColor rgb="FFC6EFCE"/>
      <rgbColor rgb="FFF4E9C8"/>
      <rgbColor rgb="FF92C3D5"/>
      <rgbColor rgb="FFF8B590"/>
      <rgbColor rgb="FFD09493"/>
      <rgbColor rgb="FFFFC7CE"/>
      <rgbColor rgb="FF4F81BD"/>
      <rgbColor rgb="FF33CCCC"/>
      <rgbColor rgb="FF99CC00"/>
      <rgbColor rgb="FFFFCC00"/>
      <rgbColor rgb="FFC9A227"/>
      <rgbColor rgb="FFFF6600"/>
      <rgbColor rgb="FF725990"/>
      <rgbColor rgb="FFA99BBD"/>
      <rgbColor rgb="FF003366"/>
      <rgbColor rgb="FF4299B0"/>
      <rgbColor rgb="FF003300"/>
      <rgbColor rgb="FF333300"/>
      <rgbColor rgb="FF993300"/>
      <rgbColor rgb="FF993366"/>
      <rgbColor rgb="FF44546A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Net Cash Flow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c9a227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'01 Budgeting System'!$C$6:$N$6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'01 Budgeting System'!$C$61</c:f>
              <c:numCache>
                <c:formatCode>\$#,##0;"($"#,##0\);\-</c:formatCode>
                <c:ptCount val="1"/>
                <c:pt idx="0">
                  <c:v>0</c:v>
                </c:pt>
              </c:numCache>
            </c:numRef>
          </c:val>
        </c:ser>
        <c:ser>
          <c:idx val="1"/>
          <c:order val="1"/>
          <c:spPr>
            <a:solidFill>
              <a:srgbClr val="ab474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'01 Budgeting System'!$C$6:$N$6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'01 Budgeting System'!$D$61</c:f>
              <c:numCache>
                <c:formatCode>\$#,##0;"($"#,##0\);\-</c:formatCode>
                <c:ptCount val="1"/>
                <c:pt idx="0">
                  <c:v>0</c:v>
                </c:pt>
              </c:numCache>
            </c:numRef>
          </c:val>
        </c:ser>
        <c:ser>
          <c:idx val="2"/>
          <c:order val="2"/>
          <c:spPr>
            <a:solidFill>
              <a:srgbClr val="8aa64f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'01 Budgeting System'!$C$6:$N$6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'01 Budgeting System'!$E$61</c:f>
              <c:numCache>
                <c:formatCode>\$#,##0;"($"#,##0\);\-</c:formatCode>
                <c:ptCount val="1"/>
                <c:pt idx="0">
                  <c:v>0</c:v>
                </c:pt>
              </c:numCache>
            </c:numRef>
          </c:val>
        </c:ser>
        <c:ser>
          <c:idx val="3"/>
          <c:order val="3"/>
          <c:spPr>
            <a:solidFill>
              <a:srgbClr val="72599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'01 Budgeting System'!$C$6:$N$6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'01 Budgeting System'!$F$61</c:f>
              <c:numCache>
                <c:formatCode>\$#,##0;"($"#,##0\);\-</c:formatCode>
                <c:ptCount val="1"/>
                <c:pt idx="0">
                  <c:v>0</c:v>
                </c:pt>
              </c:numCache>
            </c:numRef>
          </c:val>
        </c:ser>
        <c:ser>
          <c:idx val="4"/>
          <c:order val="4"/>
          <c:spPr>
            <a:solidFill>
              <a:srgbClr val="4299b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'01 Budgeting System'!$C$6:$N$6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'01 Budgeting System'!$G$61</c:f>
              <c:numCache>
                <c:formatCode>\$#,##0;"($"#,##0\);\-</c:formatCode>
                <c:ptCount val="1"/>
                <c:pt idx="0">
                  <c:v>0</c:v>
                </c:pt>
              </c:numCache>
            </c:numRef>
          </c:val>
        </c:ser>
        <c:ser>
          <c:idx val="5"/>
          <c:order val="5"/>
          <c:spPr>
            <a:solidFill>
              <a:srgbClr val="dc853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'01 Budgeting System'!$C$6:$N$6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'01 Budgeting System'!$H$61</c:f>
              <c:numCache>
                <c:formatCode>\$#,##0;"($"#,##0\);\-</c:formatCode>
                <c:ptCount val="1"/>
                <c:pt idx="0">
                  <c:v>0</c:v>
                </c:pt>
              </c:numCache>
            </c:numRef>
          </c:val>
        </c:ser>
        <c:ser>
          <c:idx val="6"/>
          <c:order val="6"/>
          <c:spPr>
            <a:solidFill>
              <a:srgbClr val="93a9c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'01 Budgeting System'!$C$6:$N$6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'01 Budgeting System'!$I$61</c:f>
              <c:numCache>
                <c:formatCode>\$#,##0;"($"#,##0\);\-</c:formatCode>
                <c:ptCount val="1"/>
                <c:pt idx="0">
                  <c:v>0</c:v>
                </c:pt>
              </c:numCache>
            </c:numRef>
          </c:val>
        </c:ser>
        <c:ser>
          <c:idx val="7"/>
          <c:order val="7"/>
          <c:spPr>
            <a:solidFill>
              <a:srgbClr val="d0949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'01 Budgeting System'!$C$6:$N$6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'01 Budgeting System'!$J$61</c:f>
              <c:numCache>
                <c:formatCode>\$#,##0;"($"#,##0\);\-</c:formatCode>
                <c:ptCount val="1"/>
                <c:pt idx="0">
                  <c:v>0</c:v>
                </c:pt>
              </c:numCache>
            </c:numRef>
          </c:val>
        </c:ser>
        <c:ser>
          <c:idx val="8"/>
          <c:order val="8"/>
          <c:spPr>
            <a:solidFill>
              <a:srgbClr val="b8cd97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'01 Budgeting System'!$C$6:$N$6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'01 Budgeting System'!$K$61</c:f>
              <c:numCache>
                <c:formatCode>\$#,##0;"($"#,##0\);\-</c:formatCode>
                <c:ptCount val="1"/>
                <c:pt idx="0">
                  <c:v>0</c:v>
                </c:pt>
              </c:numCache>
            </c:numRef>
          </c:val>
        </c:ser>
        <c:ser>
          <c:idx val="9"/>
          <c:order val="9"/>
          <c:spPr>
            <a:solidFill>
              <a:srgbClr val="a99b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'01 Budgeting System'!$C$6:$N$6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'01 Budgeting System'!$L$61</c:f>
              <c:numCache>
                <c:formatCode>\$#,##0;"($"#,##0\);\-</c:formatCode>
                <c:ptCount val="1"/>
                <c:pt idx="0">
                  <c:v>0</c:v>
                </c:pt>
              </c:numCache>
            </c:numRef>
          </c:val>
        </c:ser>
        <c:ser>
          <c:idx val="10"/>
          <c:order val="10"/>
          <c:spPr>
            <a:solidFill>
              <a:srgbClr val="92c3d5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'01 Budgeting System'!$C$6:$N$6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'01 Budgeting System'!$M$61</c:f>
              <c:numCache>
                <c:formatCode>\$#,##0;"($"#,##0\);\-</c:formatCode>
                <c:ptCount val="1"/>
                <c:pt idx="0">
                  <c:v>0</c:v>
                </c:pt>
              </c:numCache>
            </c:numRef>
          </c:val>
        </c:ser>
        <c:ser>
          <c:idx val="11"/>
          <c:order val="11"/>
          <c:spPr>
            <a:solidFill>
              <a:srgbClr val="f8b59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'01 Budgeting System'!$C$6:$N$6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'01 Budgeting System'!$N$61</c:f>
              <c:numCache>
                <c:formatCode>\$#,##0;"($"#,##0\);\-</c:formatCode>
                <c:ptCount val="1"/>
                <c:pt idx="0">
                  <c:v>0</c:v>
                </c:pt>
              </c:numCache>
            </c:numRef>
          </c:val>
        </c:ser>
        <c:gapWidth val="150"/>
        <c:overlap val="0"/>
        <c:axId val="40783733"/>
        <c:axId val="14136652"/>
      </c:barChart>
      <c:catAx>
        <c:axId val="4078373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136652"/>
        <c:crosses val="autoZero"/>
        <c:auto val="1"/>
        <c:lblAlgn val="ctr"/>
        <c:lblOffset val="100"/>
        <c:noMultiLvlLbl val="0"/>
      </c:catAx>
      <c:valAx>
        <c:axId val="1413665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USD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;&quot;($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78373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Avalanche vs. Snowball — Months to Debt-Free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'02 Debt Payoff Optimizer'!D17</c:f>
              <c:strCache>
                <c:ptCount val="1"/>
                <c:pt idx="0">
                  <c:v>Est. Months to Debt-Free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'02 Debt Payoff Optimizer'!$B$18:$B$19</c:f>
              <c:strCache>
                <c:ptCount val="2"/>
                <c:pt idx="0">
                  <c:v>Avalanche</c:v>
                </c:pt>
                <c:pt idx="1">
                  <c:v>Snowball</c:v>
                </c:pt>
              </c:strCache>
            </c:strRef>
          </c:cat>
          <c:val>
            <c:numRef>
              <c:f>'02 Debt Payoff Optimizer'!$D$18:$D$19</c:f>
              <c:numCache>
                <c:formatCode>0</c:formatCode>
                <c:ptCount val="2"/>
                <c:pt idx="0">
                  <c:v>92</c:v>
                </c:pt>
                <c:pt idx="1">
                  <c:v>96</c:v>
                </c:pt>
              </c:numCache>
            </c:numRef>
          </c:val>
        </c:ser>
        <c:gapWidth val="150"/>
        <c:overlap val="0"/>
        <c:axId val="24542759"/>
        <c:axId val="81558310"/>
      </c:barChart>
      <c:catAx>
        <c:axId val="24542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1558310"/>
        <c:crosses val="autoZero"/>
        <c:auto val="1"/>
        <c:lblAlgn val="ctr"/>
        <c:lblOffset val="100"/>
        <c:noMultiLvlLbl val="0"/>
      </c:catAx>
      <c:valAx>
        <c:axId val="8155831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54275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Projected Retirement Balance Over Time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'03 Retirement Projector'!G27</c:f>
              <c:strCache>
                <c:ptCount val="1"/>
                <c:pt idx="0">
                  <c:v>Ending Balance</c:v>
                </c:pt>
              </c:strCache>
            </c:strRef>
          </c:tx>
          <c:spPr>
            <a:solidFill>
              <a:srgbClr val="1b2a4a"/>
            </a:solidFill>
            <a:ln w="28440">
              <a:solidFill>
                <a:srgbClr val="1b2a4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'03 Retirement Projector'!$C$28:$C$67</c:f>
              <c:strCache>
                <c:ptCount val="40"/>
                <c:pt idx="0">
                  <c:v>32</c:v>
                </c:pt>
                <c:pt idx="1">
                  <c:v>33</c:v>
                </c:pt>
                <c:pt idx="2">
                  <c:v>34</c:v>
                </c:pt>
                <c:pt idx="3">
                  <c:v>35</c:v>
                </c:pt>
                <c:pt idx="4">
                  <c:v>36</c:v>
                </c:pt>
                <c:pt idx="5">
                  <c:v>37</c:v>
                </c:pt>
                <c:pt idx="6">
                  <c:v>38</c:v>
                </c:pt>
                <c:pt idx="7">
                  <c:v>39</c:v>
                </c:pt>
                <c:pt idx="8">
                  <c:v>40</c:v>
                </c:pt>
                <c:pt idx="9">
                  <c:v>41</c:v>
                </c:pt>
                <c:pt idx="10">
                  <c:v>42</c:v>
                </c:pt>
                <c:pt idx="11">
                  <c:v>43</c:v>
                </c:pt>
                <c:pt idx="12">
                  <c:v>44</c:v>
                </c:pt>
                <c:pt idx="13">
                  <c:v>45</c:v>
                </c:pt>
                <c:pt idx="14">
                  <c:v>46</c:v>
                </c:pt>
                <c:pt idx="15">
                  <c:v>47</c:v>
                </c:pt>
                <c:pt idx="16">
                  <c:v>48</c:v>
                </c:pt>
                <c:pt idx="17">
                  <c:v>49</c:v>
                </c:pt>
                <c:pt idx="18">
                  <c:v>50</c:v>
                </c:pt>
                <c:pt idx="19">
                  <c:v>51</c:v>
                </c:pt>
                <c:pt idx="20">
                  <c:v>52</c:v>
                </c:pt>
                <c:pt idx="21">
                  <c:v>53</c:v>
                </c:pt>
                <c:pt idx="22">
                  <c:v>54</c:v>
                </c:pt>
                <c:pt idx="23">
                  <c:v>55</c:v>
                </c:pt>
                <c:pt idx="24">
                  <c:v>56</c:v>
                </c:pt>
                <c:pt idx="25">
                  <c:v>57</c:v>
                </c:pt>
                <c:pt idx="26">
                  <c:v>58</c:v>
                </c:pt>
                <c:pt idx="27">
                  <c:v>59</c:v>
                </c:pt>
                <c:pt idx="28">
                  <c:v>60</c:v>
                </c:pt>
                <c:pt idx="29">
                  <c:v>61</c:v>
                </c:pt>
                <c:pt idx="30">
                  <c:v>62</c:v>
                </c:pt>
                <c:pt idx="31">
                  <c:v>63</c:v>
                </c:pt>
                <c:pt idx="32">
                  <c:v>64</c:v>
                </c:pt>
                <c:pt idx="33">
                  <c:v>65</c:v>
                </c:pt>
                <c:pt idx="34">
                  <c:v>66</c:v>
                </c:pt>
                <c:pt idx="35">
                  <c:v>67</c:v>
                </c:pt>
                <c:pt idx="36">
                  <c:v>68</c:v>
                </c:pt>
                <c:pt idx="37">
                  <c:v>69</c:v>
                </c:pt>
                <c:pt idx="38">
                  <c:v>70</c:v>
                </c:pt>
                <c:pt idx="39">
                  <c:v>71</c:v>
                </c:pt>
              </c:strCache>
            </c:strRef>
          </c:cat>
          <c:val>
            <c:numRef>
              <c:f>'03 Retirement Projector'!$G$28:$G$67</c:f>
              <c:numCache>
                <c:formatCode>\$#,##0;"($"#,##0\);\-</c:formatCode>
                <c:ptCount val="40"/>
                <c:pt idx="0">
                  <c:v>109580</c:v>
                </c:pt>
                <c:pt idx="1">
                  <c:v>136439.5</c:v>
                </c:pt>
                <c:pt idx="2">
                  <c:v>165754.832</c:v>
                </c:pt>
                <c:pt idx="3">
                  <c:v>197715.17425</c:v>
                </c:pt>
                <c:pt idx="4">
                  <c:v>232523.4655778</c:v>
                </c:pt>
                <c:pt idx="5">
                  <c:v>270397.384172455</c:v>
                </c:pt>
                <c:pt idx="6">
                  <c:v>311570.395348862</c:v>
                </c:pt>
                <c:pt idx="7">
                  <c:v>356292.873136148</c:v>
                </c:pt>
                <c:pt idx="8">
                  <c:v>404833.300871929</c:v>
                </c:pt>
                <c:pt idx="9">
                  <c:v>457479.556347703</c:v>
                </c:pt>
                <c:pt idx="10">
                  <c:v>514540.287439224</c:v>
                </c:pt>
                <c:pt idx="11">
                  <c:v>576346.384571566</c:v>
                </c:pt>
                <c:pt idx="12">
                  <c:v>643252.55681352</c:v>
                </c:pt>
                <c:pt idx="13">
                  <c:v>715639.018872069</c:v>
                </c:pt>
                <c:pt idx="14">
                  <c:v>793913.296767164</c:v>
                </c:pt>
                <c:pt idx="15">
                  <c:v>878512.160512138</c:v>
                </c:pt>
                <c:pt idx="16">
                  <c:v>969903.692708398</c:v>
                </c:pt>
                <c:pt idx="17">
                  <c:v>1068589.50258721</c:v>
                </c:pt>
                <c:pt idx="18">
                  <c:v>1175107.09569921</c:v>
                </c:pt>
                <c:pt idx="19">
                  <c:v>1290032.41016698</c:v>
                </c:pt>
                <c:pt idx="20">
                  <c:v>1413982.53118056</c:v>
                </c:pt>
                <c:pt idx="21">
                  <c:v>1547618.59623415</c:v>
                </c:pt>
                <c:pt idx="22">
                  <c:v>1691648.90447762</c:v>
                </c:pt>
                <c:pt idx="23">
                  <c:v>1846832.24449334</c:v>
                </c:pt>
                <c:pt idx="24">
                  <c:v>2013981.45581123</c:v>
                </c:pt>
                <c:pt idx="25">
                  <c:v>2193967.24054748</c:v>
                </c:pt>
                <c:pt idx="26">
                  <c:v>2387722.24270014</c:v>
                </c:pt>
                <c:pt idx="27">
                  <c:v>2596245.41386292</c:v>
                </c:pt>
                <c:pt idx="28">
                  <c:v>2713076.45748676</c:v>
                </c:pt>
                <c:pt idx="29">
                  <c:v>2835164.89807366</c:v>
                </c:pt>
                <c:pt idx="30">
                  <c:v>2962747.31848697</c:v>
                </c:pt>
                <c:pt idx="31">
                  <c:v>3096070.94781889</c:v>
                </c:pt>
                <c:pt idx="32">
                  <c:v>3235394.14047074</c:v>
                </c:pt>
                <c:pt idx="33">
                  <c:v>3380986.87679192</c:v>
                </c:pt>
                <c:pt idx="34">
                  <c:v>3533131.28624756</c:v>
                </c:pt>
                <c:pt idx="35">
                  <c:v>3692122.1941287</c:v>
                </c:pt>
                <c:pt idx="36">
                  <c:v>3858267.69286449</c:v>
                </c:pt>
                <c:pt idx="37">
                  <c:v>4031889.73904339</c:v>
                </c:pt>
                <c:pt idx="38">
                  <c:v>4213324.77730034</c:v>
                </c:pt>
                <c:pt idx="39">
                  <c:v>4402924.39227886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039704"/>
        <c:axId val="21627585"/>
      </c:lineChart>
      <c:catAx>
        <c:axId val="303970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Age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627585"/>
        <c:crosses val="autoZero"/>
        <c:auto val="1"/>
        <c:lblAlgn val="ctr"/>
        <c:lblOffset val="100"/>
        <c:noMultiLvlLbl val="0"/>
      </c:catAx>
      <c:valAx>
        <c:axId val="2162758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Balance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;&quot;($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03970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64</xdr:row>
      <xdr:rowOff>0</xdr:rowOff>
    </xdr:from>
    <xdr:to>
      <xdr:col>8</xdr:col>
      <xdr:colOff>589320</xdr:colOff>
      <xdr:row>79</xdr:row>
      <xdr:rowOff>22320</xdr:rowOff>
    </xdr:to>
    <xdr:graphicFrame>
      <xdr:nvGraphicFramePr>
        <xdr:cNvPr id="0" name="Chart 1"/>
        <xdr:cNvGraphicFramePr/>
      </xdr:nvGraphicFramePr>
      <xdr:xfrm>
        <a:off x="141120" y="12525480"/>
        <a:ext cx="79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14</xdr:row>
      <xdr:rowOff>78120</xdr:rowOff>
    </xdr:from>
    <xdr:to>
      <xdr:col>12</xdr:col>
      <xdr:colOff>433080</xdr:colOff>
      <xdr:row>26</xdr:row>
      <xdr:rowOff>121320</xdr:rowOff>
    </xdr:to>
    <xdr:graphicFrame>
      <xdr:nvGraphicFramePr>
        <xdr:cNvPr id="1" name="Chart 1"/>
        <xdr:cNvGraphicFramePr/>
      </xdr:nvGraphicFramePr>
      <xdr:xfrm>
        <a:off x="6625440" y="307656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70</xdr:row>
      <xdr:rowOff>0</xdr:rowOff>
    </xdr:from>
    <xdr:to>
      <xdr:col>7</xdr:col>
      <xdr:colOff>448200</xdr:colOff>
      <xdr:row>87</xdr:row>
      <xdr:rowOff>1080</xdr:rowOff>
    </xdr:to>
    <xdr:graphicFrame>
      <xdr:nvGraphicFramePr>
        <xdr:cNvPr id="2" name="Chart 1"/>
        <xdr:cNvGraphicFramePr/>
      </xdr:nvGraphicFramePr>
      <xdr:xfrm>
        <a:off x="141120" y="14106600"/>
        <a:ext cx="79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G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7" min="2" style="0" width="22"/>
    <col collapsed="false" customWidth="true" hidden="false" outlineLevel="0" max="8" min="8" style="0" width="3"/>
  </cols>
  <sheetData>
    <row r="3" customFormat="false" ht="33.85" hidden="false" customHeight="false" outlineLevel="0" collapsed="false">
      <c r="B3" s="1" t="s">
        <v>0</v>
      </c>
      <c r="C3" s="1"/>
      <c r="D3" s="1"/>
      <c r="E3" s="1"/>
      <c r="F3" s="1"/>
      <c r="G3" s="1"/>
    </row>
    <row r="4" customFormat="false" ht="19.7" hidden="false" customHeight="false" outlineLevel="0" collapsed="false">
      <c r="B4" s="2" t="s">
        <v>1</v>
      </c>
      <c r="C4" s="2"/>
      <c r="D4" s="2"/>
      <c r="E4" s="2"/>
      <c r="F4" s="2"/>
      <c r="G4" s="2"/>
    </row>
    <row r="6" customFormat="false" ht="25.5" hidden="false" customHeight="true" outlineLevel="0" collapsed="false">
      <c r="B6" s="3" t="s">
        <v>2</v>
      </c>
      <c r="C6" s="3"/>
      <c r="D6" s="3"/>
      <c r="E6" s="3"/>
      <c r="F6" s="3"/>
      <c r="G6" s="3"/>
    </row>
    <row r="8" customFormat="false" ht="15" hidden="false" customHeight="false" outlineLevel="0" collapsed="false">
      <c r="B8" s="4" t="s">
        <v>3</v>
      </c>
      <c r="C8" s="4"/>
      <c r="D8" s="4"/>
      <c r="E8" s="4"/>
      <c r="F8" s="4"/>
      <c r="G8" s="4"/>
    </row>
    <row r="11" customFormat="false" ht="15" hidden="false" customHeight="false" outlineLevel="0" collapsed="false">
      <c r="B11" s="5" t="s">
        <v>4</v>
      </c>
      <c r="C11" s="5"/>
      <c r="D11" s="5"/>
      <c r="E11" s="5"/>
      <c r="F11" s="5"/>
      <c r="G11" s="5"/>
    </row>
    <row r="13" customFormat="false" ht="18" hidden="false" customHeight="true" outlineLevel="0" collapsed="false">
      <c r="B13" s="6" t="s">
        <v>5</v>
      </c>
      <c r="C13" s="6"/>
      <c r="D13" s="7" t="s">
        <v>6</v>
      </c>
      <c r="E13" s="7"/>
      <c r="F13" s="7"/>
      <c r="G13" s="7"/>
    </row>
    <row r="14" customFormat="false" ht="18" hidden="false" customHeight="true" outlineLevel="0" collapsed="false">
      <c r="B14" s="6" t="s">
        <v>7</v>
      </c>
      <c r="C14" s="6"/>
      <c r="D14" s="7" t="s">
        <v>8</v>
      </c>
      <c r="E14" s="7"/>
      <c r="F14" s="7"/>
      <c r="G14" s="7"/>
    </row>
    <row r="15" customFormat="false" ht="18" hidden="false" customHeight="true" outlineLevel="0" collapsed="false">
      <c r="B15" s="6" t="s">
        <v>9</v>
      </c>
      <c r="C15" s="6"/>
      <c r="D15" s="7" t="s">
        <v>10</v>
      </c>
      <c r="E15" s="7"/>
      <c r="F15" s="7"/>
      <c r="G15" s="7"/>
    </row>
    <row r="16" customFormat="false" ht="18" hidden="false" customHeight="true" outlineLevel="0" collapsed="false">
      <c r="B16" s="6" t="s">
        <v>11</v>
      </c>
      <c r="C16" s="6"/>
      <c r="D16" s="7" t="s">
        <v>12</v>
      </c>
      <c r="E16" s="7"/>
      <c r="F16" s="7"/>
      <c r="G16" s="7"/>
    </row>
    <row r="17" customFormat="false" ht="18" hidden="false" customHeight="true" outlineLevel="0" collapsed="false">
      <c r="B17" s="6" t="s">
        <v>13</v>
      </c>
      <c r="C17" s="6"/>
      <c r="D17" s="7" t="s">
        <v>14</v>
      </c>
      <c r="E17" s="7"/>
      <c r="F17" s="7"/>
      <c r="G17" s="7"/>
    </row>
    <row r="18" customFormat="false" ht="18" hidden="false" customHeight="true" outlineLevel="0" collapsed="false">
      <c r="B18" s="6" t="s">
        <v>15</v>
      </c>
      <c r="C18" s="6"/>
      <c r="D18" s="7" t="s">
        <v>16</v>
      </c>
      <c r="E18" s="7"/>
      <c r="F18" s="7"/>
      <c r="G18" s="7"/>
    </row>
    <row r="21" customFormat="false" ht="19.5" hidden="false" customHeight="true" outlineLevel="0" collapsed="false">
      <c r="B21" s="8" t="s">
        <v>17</v>
      </c>
      <c r="C21" s="8"/>
      <c r="D21" s="8"/>
      <c r="E21" s="8"/>
      <c r="F21" s="8"/>
      <c r="G21" s="8"/>
    </row>
    <row r="22" customFormat="false" ht="25.5" hidden="false" customHeight="true" outlineLevel="0" collapsed="false">
      <c r="B22" s="9" t="s">
        <v>18</v>
      </c>
      <c r="C22" s="9"/>
      <c r="D22" s="9"/>
      <c r="E22" s="9"/>
      <c r="F22" s="9"/>
      <c r="G22" s="9"/>
    </row>
    <row r="23" customFormat="false" ht="25.5" hidden="false" customHeight="true" outlineLevel="0" collapsed="false">
      <c r="B23" s="9" t="s">
        <v>19</v>
      </c>
      <c r="C23" s="9"/>
      <c r="D23" s="9"/>
      <c r="E23" s="9"/>
      <c r="F23" s="9"/>
      <c r="G23" s="9"/>
    </row>
    <row r="24" customFormat="false" ht="25.5" hidden="false" customHeight="true" outlineLevel="0" collapsed="false">
      <c r="B24" s="9" t="s">
        <v>20</v>
      </c>
      <c r="C24" s="9"/>
      <c r="D24" s="9"/>
      <c r="E24" s="9"/>
      <c r="F24" s="9"/>
      <c r="G24" s="9"/>
    </row>
    <row r="25" customFormat="false" ht="25.5" hidden="false" customHeight="true" outlineLevel="0" collapsed="false">
      <c r="B25" s="9" t="s">
        <v>21</v>
      </c>
      <c r="C25" s="9"/>
      <c r="D25" s="9"/>
      <c r="E25" s="9"/>
      <c r="F25" s="9"/>
      <c r="G25" s="9"/>
    </row>
    <row r="26" customFormat="false" ht="25.5" hidden="false" customHeight="true" outlineLevel="0" collapsed="false">
      <c r="B26" s="9" t="s">
        <v>22</v>
      </c>
      <c r="C26" s="9"/>
      <c r="D26" s="9"/>
      <c r="E26" s="9"/>
      <c r="F26" s="9"/>
      <c r="G26" s="9"/>
    </row>
    <row r="28" customFormat="false" ht="15" hidden="false" customHeight="false" outlineLevel="0" collapsed="false">
      <c r="B28" s="10" t="s">
        <v>23</v>
      </c>
      <c r="C28" s="10"/>
      <c r="D28" s="10"/>
      <c r="E28" s="10"/>
      <c r="F28" s="10"/>
      <c r="G28" s="10"/>
    </row>
  </sheetData>
  <mergeCells count="24">
    <mergeCell ref="B3:G3"/>
    <mergeCell ref="B4:G4"/>
    <mergeCell ref="B6:G6"/>
    <mergeCell ref="B8:G8"/>
    <mergeCell ref="B11:G11"/>
    <mergeCell ref="B13:C13"/>
    <mergeCell ref="D13:G13"/>
    <mergeCell ref="B14:C14"/>
    <mergeCell ref="D14:G14"/>
    <mergeCell ref="B15:C15"/>
    <mergeCell ref="D15:G15"/>
    <mergeCell ref="B16:C16"/>
    <mergeCell ref="D16:G16"/>
    <mergeCell ref="B17:C17"/>
    <mergeCell ref="D17:G17"/>
    <mergeCell ref="B18:C18"/>
    <mergeCell ref="D18:G18"/>
    <mergeCell ref="B21:G21"/>
    <mergeCell ref="B22:G22"/>
    <mergeCell ref="B23:G23"/>
    <mergeCell ref="B24:G24"/>
    <mergeCell ref="B25:G25"/>
    <mergeCell ref="B26:G26"/>
    <mergeCell ref="B28:G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O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14" min="3" style="0" width="13"/>
    <col collapsed="false" customWidth="true" hidden="false" outlineLevel="0" max="15" min="15" style="0" width="14"/>
  </cols>
  <sheetData>
    <row r="2" customFormat="false" ht="27.75" hidden="false" customHeight="true" outlineLevel="0" collapsed="false">
      <c r="B2" s="11" t="s">
        <v>24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</row>
    <row r="3" customFormat="false" ht="15" hidden="false" customHeight="false" outlineLevel="0" collapsed="false">
      <c r="B3" s="12" t="s">
        <v>6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</row>
    <row r="5" customFormat="false" ht="19.5" hidden="false" customHeight="true" outlineLevel="0" collapsed="false">
      <c r="B5" s="13" t="s">
        <v>25</v>
      </c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</row>
    <row r="6" customFormat="false" ht="15" hidden="false" customHeight="false" outlineLevel="0" collapsed="false">
      <c r="B6" s="14" t="s">
        <v>26</v>
      </c>
      <c r="C6" s="15" t="s">
        <v>27</v>
      </c>
      <c r="D6" s="15" t="s">
        <v>28</v>
      </c>
      <c r="E6" s="15" t="s">
        <v>29</v>
      </c>
      <c r="F6" s="15" t="s">
        <v>30</v>
      </c>
      <c r="G6" s="15" t="s">
        <v>31</v>
      </c>
      <c r="H6" s="15" t="s">
        <v>32</v>
      </c>
      <c r="I6" s="15" t="s">
        <v>33</v>
      </c>
      <c r="J6" s="15" t="s">
        <v>34</v>
      </c>
      <c r="K6" s="15" t="s">
        <v>35</v>
      </c>
      <c r="L6" s="15" t="s">
        <v>36</v>
      </c>
      <c r="M6" s="15" t="s">
        <v>37</v>
      </c>
      <c r="N6" s="15" t="s">
        <v>38</v>
      </c>
      <c r="O6" s="15" t="s">
        <v>39</v>
      </c>
    </row>
    <row r="7" customFormat="false" ht="15" hidden="false" customHeight="false" outlineLevel="0" collapsed="false">
      <c r="B7" s="16" t="s">
        <v>40</v>
      </c>
      <c r="C7" s="17" t="n">
        <v>0</v>
      </c>
      <c r="D7" s="17" t="n">
        <v>0</v>
      </c>
      <c r="E7" s="17" t="n">
        <v>0</v>
      </c>
      <c r="F7" s="17" t="n">
        <v>0</v>
      </c>
      <c r="G7" s="17" t="n">
        <v>0</v>
      </c>
      <c r="H7" s="17" t="n">
        <v>0</v>
      </c>
      <c r="I7" s="17" t="n">
        <v>0</v>
      </c>
      <c r="J7" s="17" t="n">
        <v>0</v>
      </c>
      <c r="K7" s="17" t="n">
        <v>0</v>
      </c>
      <c r="L7" s="17" t="n">
        <v>0</v>
      </c>
      <c r="M7" s="17" t="n">
        <v>0</v>
      </c>
      <c r="N7" s="17" t="n">
        <v>0</v>
      </c>
      <c r="O7" s="18" t="n">
        <f aca="false">SUM(C7:N7)</f>
        <v>0</v>
      </c>
    </row>
    <row r="8" customFormat="false" ht="15" hidden="false" customHeight="false" outlineLevel="0" collapsed="false">
      <c r="B8" s="16" t="s">
        <v>41</v>
      </c>
      <c r="C8" s="17" t="n">
        <v>0</v>
      </c>
      <c r="D8" s="17" t="n">
        <v>0</v>
      </c>
      <c r="E8" s="17" t="n">
        <v>0</v>
      </c>
      <c r="F8" s="17" t="n">
        <v>0</v>
      </c>
      <c r="G8" s="17" t="n">
        <v>0</v>
      </c>
      <c r="H8" s="17" t="n">
        <v>0</v>
      </c>
      <c r="I8" s="17" t="n">
        <v>0</v>
      </c>
      <c r="J8" s="17" t="n">
        <v>0</v>
      </c>
      <c r="K8" s="17" t="n">
        <v>0</v>
      </c>
      <c r="L8" s="17" t="n">
        <v>0</v>
      </c>
      <c r="M8" s="17" t="n">
        <v>0</v>
      </c>
      <c r="N8" s="17" t="n">
        <v>0</v>
      </c>
      <c r="O8" s="18" t="n">
        <f aca="false">SUM(C8:N8)</f>
        <v>0</v>
      </c>
    </row>
    <row r="9" customFormat="false" ht="15" hidden="false" customHeight="false" outlineLevel="0" collapsed="false">
      <c r="B9" s="16" t="s">
        <v>42</v>
      </c>
      <c r="C9" s="17" t="n">
        <v>0</v>
      </c>
      <c r="D9" s="17" t="n">
        <v>0</v>
      </c>
      <c r="E9" s="17" t="n">
        <v>0</v>
      </c>
      <c r="F9" s="17" t="n">
        <v>0</v>
      </c>
      <c r="G9" s="17" t="n">
        <v>0</v>
      </c>
      <c r="H9" s="17" t="n">
        <v>0</v>
      </c>
      <c r="I9" s="17" t="n">
        <v>0</v>
      </c>
      <c r="J9" s="17" t="n">
        <v>0</v>
      </c>
      <c r="K9" s="17" t="n">
        <v>0</v>
      </c>
      <c r="L9" s="17" t="n">
        <v>0</v>
      </c>
      <c r="M9" s="17" t="n">
        <v>0</v>
      </c>
      <c r="N9" s="17" t="n">
        <v>0</v>
      </c>
      <c r="O9" s="18" t="n">
        <f aca="false">SUM(C9:N9)</f>
        <v>0</v>
      </c>
    </row>
    <row r="10" customFormat="false" ht="15" hidden="false" customHeight="false" outlineLevel="0" collapsed="false">
      <c r="B10" s="16" t="s">
        <v>43</v>
      </c>
      <c r="C10" s="17" t="n">
        <v>0</v>
      </c>
      <c r="D10" s="17" t="n">
        <v>0</v>
      </c>
      <c r="E10" s="17" t="n">
        <v>0</v>
      </c>
      <c r="F10" s="17" t="n">
        <v>0</v>
      </c>
      <c r="G10" s="17" t="n">
        <v>0</v>
      </c>
      <c r="H10" s="17" t="n">
        <v>0</v>
      </c>
      <c r="I10" s="17" t="n">
        <v>0</v>
      </c>
      <c r="J10" s="17" t="n">
        <v>0</v>
      </c>
      <c r="K10" s="17" t="n">
        <v>0</v>
      </c>
      <c r="L10" s="17" t="n">
        <v>0</v>
      </c>
      <c r="M10" s="17" t="n">
        <v>0</v>
      </c>
      <c r="N10" s="17" t="n">
        <v>0</v>
      </c>
      <c r="O10" s="18" t="n">
        <f aca="false">SUM(C10:N10)</f>
        <v>0</v>
      </c>
    </row>
    <row r="11" customFormat="false" ht="15" hidden="false" customHeight="false" outlineLevel="0" collapsed="false">
      <c r="B11" s="16" t="s">
        <v>44</v>
      </c>
      <c r="C11" s="17" t="n">
        <v>0</v>
      </c>
      <c r="D11" s="17" t="n">
        <v>0</v>
      </c>
      <c r="E11" s="17" t="n">
        <v>0</v>
      </c>
      <c r="F11" s="17" t="n">
        <v>0</v>
      </c>
      <c r="G11" s="17" t="n">
        <v>0</v>
      </c>
      <c r="H11" s="17" t="n">
        <v>0</v>
      </c>
      <c r="I11" s="17" t="n">
        <v>0</v>
      </c>
      <c r="J11" s="17" t="n">
        <v>0</v>
      </c>
      <c r="K11" s="17" t="n">
        <v>0</v>
      </c>
      <c r="L11" s="17" t="n">
        <v>0</v>
      </c>
      <c r="M11" s="17" t="n">
        <v>0</v>
      </c>
      <c r="N11" s="17" t="n">
        <v>0</v>
      </c>
      <c r="O11" s="18" t="n">
        <f aca="false">SUM(C11:N11)</f>
        <v>0</v>
      </c>
    </row>
    <row r="12" customFormat="false" ht="15" hidden="false" customHeight="false" outlineLevel="0" collapsed="false">
      <c r="B12" s="19" t="s">
        <v>45</v>
      </c>
      <c r="C12" s="20" t="n">
        <f aca="false">SUM(C7:C11)</f>
        <v>0</v>
      </c>
      <c r="D12" s="20" t="n">
        <f aca="false">SUM(D7:D11)</f>
        <v>0</v>
      </c>
      <c r="E12" s="20" t="n">
        <f aca="false">SUM(E7:E11)</f>
        <v>0</v>
      </c>
      <c r="F12" s="20" t="n">
        <f aca="false">SUM(F7:F11)</f>
        <v>0</v>
      </c>
      <c r="G12" s="20" t="n">
        <f aca="false">SUM(G7:G11)</f>
        <v>0</v>
      </c>
      <c r="H12" s="20" t="n">
        <f aca="false">SUM(H7:H11)</f>
        <v>0</v>
      </c>
      <c r="I12" s="20" t="n">
        <f aca="false">SUM(I7:I11)</f>
        <v>0</v>
      </c>
      <c r="J12" s="20" t="n">
        <f aca="false">SUM(J7:J11)</f>
        <v>0</v>
      </c>
      <c r="K12" s="20" t="n">
        <f aca="false">SUM(K7:K11)</f>
        <v>0</v>
      </c>
      <c r="L12" s="20" t="n">
        <f aca="false">SUM(L7:L11)</f>
        <v>0</v>
      </c>
      <c r="M12" s="20" t="n">
        <f aca="false">SUM(M7:M11)</f>
        <v>0</v>
      </c>
      <c r="N12" s="20" t="n">
        <f aca="false">SUM(N7:N11)</f>
        <v>0</v>
      </c>
      <c r="O12" s="20" t="n">
        <f aca="false">SUM(O7:O11)</f>
        <v>0</v>
      </c>
    </row>
    <row r="14" customFormat="false" ht="19.5" hidden="false" customHeight="true" outlineLevel="0" collapsed="false">
      <c r="B14" s="21" t="s">
        <v>46</v>
      </c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</row>
    <row r="15" customFormat="false" ht="15" hidden="false" customHeight="false" outlineLevel="0" collapsed="false">
      <c r="B15" s="22" t="s">
        <v>26</v>
      </c>
      <c r="C15" s="15" t="s">
        <v>27</v>
      </c>
      <c r="D15" s="15" t="s">
        <v>28</v>
      </c>
      <c r="E15" s="15" t="s">
        <v>29</v>
      </c>
      <c r="F15" s="15" t="s">
        <v>30</v>
      </c>
      <c r="G15" s="15" t="s">
        <v>31</v>
      </c>
      <c r="H15" s="15" t="s">
        <v>32</v>
      </c>
      <c r="I15" s="15" t="s">
        <v>33</v>
      </c>
      <c r="J15" s="15" t="s">
        <v>34</v>
      </c>
      <c r="K15" s="15" t="s">
        <v>35</v>
      </c>
      <c r="L15" s="15" t="s">
        <v>36</v>
      </c>
      <c r="M15" s="15" t="s">
        <v>37</v>
      </c>
      <c r="N15" s="15" t="s">
        <v>38</v>
      </c>
      <c r="O15" s="15" t="s">
        <v>39</v>
      </c>
    </row>
    <row r="16" customFormat="false" ht="15" hidden="false" customHeight="false" outlineLevel="0" collapsed="false">
      <c r="B16" s="23" t="s">
        <v>47</v>
      </c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</row>
    <row r="17" customFormat="false" ht="15" hidden="false" customHeight="false" outlineLevel="0" collapsed="false">
      <c r="B17" s="25" t="s">
        <v>48</v>
      </c>
      <c r="C17" s="17" t="n">
        <v>0</v>
      </c>
      <c r="D17" s="17" t="n">
        <v>0</v>
      </c>
      <c r="E17" s="17" t="n">
        <v>0</v>
      </c>
      <c r="F17" s="17" t="n">
        <v>0</v>
      </c>
      <c r="G17" s="17" t="n">
        <v>0</v>
      </c>
      <c r="H17" s="17" t="n">
        <v>0</v>
      </c>
      <c r="I17" s="17" t="n">
        <v>0</v>
      </c>
      <c r="J17" s="17" t="n">
        <v>0</v>
      </c>
      <c r="K17" s="17" t="n">
        <v>0</v>
      </c>
      <c r="L17" s="17" t="n">
        <v>0</v>
      </c>
      <c r="M17" s="17" t="n">
        <v>0</v>
      </c>
      <c r="N17" s="17" t="n">
        <v>0</v>
      </c>
      <c r="O17" s="26" t="n">
        <f aca="false">SUM(C17:N17)</f>
        <v>0</v>
      </c>
    </row>
    <row r="18" customFormat="false" ht="15" hidden="false" customHeight="false" outlineLevel="0" collapsed="false">
      <c r="B18" s="25" t="s">
        <v>49</v>
      </c>
      <c r="C18" s="17" t="n">
        <v>0</v>
      </c>
      <c r="D18" s="17" t="n">
        <v>0</v>
      </c>
      <c r="E18" s="17" t="n">
        <v>0</v>
      </c>
      <c r="F18" s="17" t="n">
        <v>0</v>
      </c>
      <c r="G18" s="17" t="n">
        <v>0</v>
      </c>
      <c r="H18" s="17" t="n">
        <v>0</v>
      </c>
      <c r="I18" s="17" t="n">
        <v>0</v>
      </c>
      <c r="J18" s="17" t="n">
        <v>0</v>
      </c>
      <c r="K18" s="17" t="n">
        <v>0</v>
      </c>
      <c r="L18" s="17" t="n">
        <v>0</v>
      </c>
      <c r="M18" s="17" t="n">
        <v>0</v>
      </c>
      <c r="N18" s="17" t="n">
        <v>0</v>
      </c>
      <c r="O18" s="26" t="n">
        <f aca="false">SUM(C18:N18)</f>
        <v>0</v>
      </c>
    </row>
    <row r="19" customFormat="false" ht="15" hidden="false" customHeight="false" outlineLevel="0" collapsed="false">
      <c r="B19" s="25" t="s">
        <v>50</v>
      </c>
      <c r="C19" s="17" t="n">
        <v>0</v>
      </c>
      <c r="D19" s="17" t="n">
        <v>0</v>
      </c>
      <c r="E19" s="17" t="n">
        <v>0</v>
      </c>
      <c r="F19" s="17" t="n">
        <v>0</v>
      </c>
      <c r="G19" s="17" t="n">
        <v>0</v>
      </c>
      <c r="H19" s="17" t="n">
        <v>0</v>
      </c>
      <c r="I19" s="17" t="n">
        <v>0</v>
      </c>
      <c r="J19" s="17" t="n">
        <v>0</v>
      </c>
      <c r="K19" s="17" t="n">
        <v>0</v>
      </c>
      <c r="L19" s="17" t="n">
        <v>0</v>
      </c>
      <c r="M19" s="17" t="n">
        <v>0</v>
      </c>
      <c r="N19" s="17" t="n">
        <v>0</v>
      </c>
      <c r="O19" s="26" t="n">
        <f aca="false">SUM(C19:N19)</f>
        <v>0</v>
      </c>
    </row>
    <row r="20" customFormat="false" ht="15" hidden="false" customHeight="false" outlineLevel="0" collapsed="false">
      <c r="B20" s="25" t="s">
        <v>51</v>
      </c>
      <c r="C20" s="17" t="n">
        <v>0</v>
      </c>
      <c r="D20" s="17" t="n">
        <v>0</v>
      </c>
      <c r="E20" s="17" t="n">
        <v>0</v>
      </c>
      <c r="F20" s="17" t="n">
        <v>0</v>
      </c>
      <c r="G20" s="17" t="n">
        <v>0</v>
      </c>
      <c r="H20" s="17" t="n">
        <v>0</v>
      </c>
      <c r="I20" s="17" t="n">
        <v>0</v>
      </c>
      <c r="J20" s="17" t="n">
        <v>0</v>
      </c>
      <c r="K20" s="17" t="n">
        <v>0</v>
      </c>
      <c r="L20" s="17" t="n">
        <v>0</v>
      </c>
      <c r="M20" s="17" t="n">
        <v>0</v>
      </c>
      <c r="N20" s="17" t="n">
        <v>0</v>
      </c>
      <c r="O20" s="26" t="n">
        <f aca="false">SUM(C20:N20)</f>
        <v>0</v>
      </c>
    </row>
    <row r="21" customFormat="false" ht="15" hidden="false" customHeight="false" outlineLevel="0" collapsed="false">
      <c r="B21" s="27" t="s">
        <v>52</v>
      </c>
      <c r="C21" s="20" t="n">
        <f aca="false">SUM(C17:C20)</f>
        <v>0</v>
      </c>
      <c r="D21" s="20" t="n">
        <f aca="false">SUM(D17:D20)</f>
        <v>0</v>
      </c>
      <c r="E21" s="20" t="n">
        <f aca="false">SUM(E17:E20)</f>
        <v>0</v>
      </c>
      <c r="F21" s="20" t="n">
        <f aca="false">SUM(F17:F20)</f>
        <v>0</v>
      </c>
      <c r="G21" s="20" t="n">
        <f aca="false">SUM(G17:G20)</f>
        <v>0</v>
      </c>
      <c r="H21" s="20" t="n">
        <f aca="false">SUM(H17:H20)</f>
        <v>0</v>
      </c>
      <c r="I21" s="20" t="n">
        <f aca="false">SUM(I17:I20)</f>
        <v>0</v>
      </c>
      <c r="J21" s="20" t="n">
        <f aca="false">SUM(J17:J20)</f>
        <v>0</v>
      </c>
      <c r="K21" s="20" t="n">
        <f aca="false">SUM(K17:K20)</f>
        <v>0</v>
      </c>
      <c r="L21" s="20" t="n">
        <f aca="false">SUM(L17:L20)</f>
        <v>0</v>
      </c>
      <c r="M21" s="20" t="n">
        <f aca="false">SUM(M17:M20)</f>
        <v>0</v>
      </c>
      <c r="N21" s="20" t="n">
        <f aca="false">SUM(N17:N20)</f>
        <v>0</v>
      </c>
      <c r="O21" s="20" t="n">
        <f aca="false">SUM(O17:O20)</f>
        <v>0</v>
      </c>
    </row>
    <row r="23" customFormat="false" ht="15" hidden="false" customHeight="false" outlineLevel="0" collapsed="false">
      <c r="B23" s="23" t="s">
        <v>53</v>
      </c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</row>
    <row r="24" customFormat="false" ht="15" hidden="false" customHeight="false" outlineLevel="0" collapsed="false">
      <c r="B24" s="25" t="s">
        <v>54</v>
      </c>
      <c r="C24" s="17" t="n">
        <v>0</v>
      </c>
      <c r="D24" s="17" t="n">
        <v>0</v>
      </c>
      <c r="E24" s="17" t="n">
        <v>0</v>
      </c>
      <c r="F24" s="17" t="n">
        <v>0</v>
      </c>
      <c r="G24" s="17" t="n">
        <v>0</v>
      </c>
      <c r="H24" s="17" t="n">
        <v>0</v>
      </c>
      <c r="I24" s="17" t="n">
        <v>0</v>
      </c>
      <c r="J24" s="17" t="n">
        <v>0</v>
      </c>
      <c r="K24" s="17" t="n">
        <v>0</v>
      </c>
      <c r="L24" s="17" t="n">
        <v>0</v>
      </c>
      <c r="M24" s="17" t="n">
        <v>0</v>
      </c>
      <c r="N24" s="17" t="n">
        <v>0</v>
      </c>
      <c r="O24" s="26" t="n">
        <f aca="false">SUM(C24:N24)</f>
        <v>0</v>
      </c>
    </row>
    <row r="25" customFormat="false" ht="15" hidden="false" customHeight="false" outlineLevel="0" collapsed="false">
      <c r="B25" s="25" t="s">
        <v>55</v>
      </c>
      <c r="C25" s="17" t="n">
        <v>0</v>
      </c>
      <c r="D25" s="17" t="n">
        <v>0</v>
      </c>
      <c r="E25" s="17" t="n">
        <v>0</v>
      </c>
      <c r="F25" s="17" t="n">
        <v>0</v>
      </c>
      <c r="G25" s="17" t="n">
        <v>0</v>
      </c>
      <c r="H25" s="17" t="n">
        <v>0</v>
      </c>
      <c r="I25" s="17" t="n">
        <v>0</v>
      </c>
      <c r="J25" s="17" t="n">
        <v>0</v>
      </c>
      <c r="K25" s="17" t="n">
        <v>0</v>
      </c>
      <c r="L25" s="17" t="n">
        <v>0</v>
      </c>
      <c r="M25" s="17" t="n">
        <v>0</v>
      </c>
      <c r="N25" s="17" t="n">
        <v>0</v>
      </c>
      <c r="O25" s="26" t="n">
        <f aca="false">SUM(C25:N25)</f>
        <v>0</v>
      </c>
    </row>
    <row r="26" customFormat="false" ht="15" hidden="false" customHeight="false" outlineLevel="0" collapsed="false">
      <c r="B26" s="25" t="s">
        <v>56</v>
      </c>
      <c r="C26" s="17" t="n">
        <v>0</v>
      </c>
      <c r="D26" s="17" t="n">
        <v>0</v>
      </c>
      <c r="E26" s="17" t="n">
        <v>0</v>
      </c>
      <c r="F26" s="17" t="n">
        <v>0</v>
      </c>
      <c r="G26" s="17" t="n">
        <v>0</v>
      </c>
      <c r="H26" s="17" t="n">
        <v>0</v>
      </c>
      <c r="I26" s="17" t="n">
        <v>0</v>
      </c>
      <c r="J26" s="17" t="n">
        <v>0</v>
      </c>
      <c r="K26" s="17" t="n">
        <v>0</v>
      </c>
      <c r="L26" s="17" t="n">
        <v>0</v>
      </c>
      <c r="M26" s="17" t="n">
        <v>0</v>
      </c>
      <c r="N26" s="17" t="n">
        <v>0</v>
      </c>
      <c r="O26" s="26" t="n">
        <f aca="false">SUM(C26:N26)</f>
        <v>0</v>
      </c>
    </row>
    <row r="27" customFormat="false" ht="15" hidden="false" customHeight="false" outlineLevel="0" collapsed="false">
      <c r="B27" s="25" t="s">
        <v>57</v>
      </c>
      <c r="C27" s="17" t="n">
        <v>0</v>
      </c>
      <c r="D27" s="17" t="n">
        <v>0</v>
      </c>
      <c r="E27" s="17" t="n">
        <v>0</v>
      </c>
      <c r="F27" s="17" t="n">
        <v>0</v>
      </c>
      <c r="G27" s="17" t="n">
        <v>0</v>
      </c>
      <c r="H27" s="17" t="n">
        <v>0</v>
      </c>
      <c r="I27" s="17" t="n">
        <v>0</v>
      </c>
      <c r="J27" s="17" t="n">
        <v>0</v>
      </c>
      <c r="K27" s="17" t="n">
        <v>0</v>
      </c>
      <c r="L27" s="17" t="n">
        <v>0</v>
      </c>
      <c r="M27" s="17" t="n">
        <v>0</v>
      </c>
      <c r="N27" s="17" t="n">
        <v>0</v>
      </c>
      <c r="O27" s="26" t="n">
        <f aca="false">SUM(C27:N27)</f>
        <v>0</v>
      </c>
    </row>
    <row r="28" customFormat="false" ht="15" hidden="false" customHeight="false" outlineLevel="0" collapsed="false">
      <c r="B28" s="27" t="s">
        <v>58</v>
      </c>
      <c r="C28" s="20" t="n">
        <f aca="false">SUM(C24:C27)</f>
        <v>0</v>
      </c>
      <c r="D28" s="20" t="n">
        <f aca="false">SUM(D24:D27)</f>
        <v>0</v>
      </c>
      <c r="E28" s="20" t="n">
        <f aca="false">SUM(E24:E27)</f>
        <v>0</v>
      </c>
      <c r="F28" s="20" t="n">
        <f aca="false">SUM(F24:F27)</f>
        <v>0</v>
      </c>
      <c r="G28" s="20" t="n">
        <f aca="false">SUM(G24:G27)</f>
        <v>0</v>
      </c>
      <c r="H28" s="20" t="n">
        <f aca="false">SUM(H24:H27)</f>
        <v>0</v>
      </c>
      <c r="I28" s="20" t="n">
        <f aca="false">SUM(I24:I27)</f>
        <v>0</v>
      </c>
      <c r="J28" s="20" t="n">
        <f aca="false">SUM(J24:J27)</f>
        <v>0</v>
      </c>
      <c r="K28" s="20" t="n">
        <f aca="false">SUM(K24:K27)</f>
        <v>0</v>
      </c>
      <c r="L28" s="20" t="n">
        <f aca="false">SUM(L24:L27)</f>
        <v>0</v>
      </c>
      <c r="M28" s="20" t="n">
        <f aca="false">SUM(M24:M27)</f>
        <v>0</v>
      </c>
      <c r="N28" s="20" t="n">
        <f aca="false">SUM(N24:N27)</f>
        <v>0</v>
      </c>
      <c r="O28" s="20" t="n">
        <f aca="false">SUM(O24:O27)</f>
        <v>0</v>
      </c>
    </row>
    <row r="30" customFormat="false" ht="15" hidden="false" customHeight="false" outlineLevel="0" collapsed="false">
      <c r="B30" s="23" t="s">
        <v>59</v>
      </c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</row>
    <row r="31" customFormat="false" ht="15" hidden="false" customHeight="false" outlineLevel="0" collapsed="false">
      <c r="B31" s="25" t="s">
        <v>60</v>
      </c>
      <c r="C31" s="17" t="n">
        <v>0</v>
      </c>
      <c r="D31" s="17" t="n">
        <v>0</v>
      </c>
      <c r="E31" s="17" t="n">
        <v>0</v>
      </c>
      <c r="F31" s="17" t="n">
        <v>0</v>
      </c>
      <c r="G31" s="17" t="n">
        <v>0</v>
      </c>
      <c r="H31" s="17" t="n">
        <v>0</v>
      </c>
      <c r="I31" s="17" t="n">
        <v>0</v>
      </c>
      <c r="J31" s="17" t="n">
        <v>0</v>
      </c>
      <c r="K31" s="17" t="n">
        <v>0</v>
      </c>
      <c r="L31" s="17" t="n">
        <v>0</v>
      </c>
      <c r="M31" s="17" t="n">
        <v>0</v>
      </c>
      <c r="N31" s="17" t="n">
        <v>0</v>
      </c>
      <c r="O31" s="26" t="n">
        <f aca="false">SUM(C31:N31)</f>
        <v>0</v>
      </c>
    </row>
    <row r="32" customFormat="false" ht="15" hidden="false" customHeight="false" outlineLevel="0" collapsed="false">
      <c r="B32" s="25" t="s">
        <v>61</v>
      </c>
      <c r="C32" s="17" t="n">
        <v>0</v>
      </c>
      <c r="D32" s="17" t="n">
        <v>0</v>
      </c>
      <c r="E32" s="17" t="n">
        <v>0</v>
      </c>
      <c r="F32" s="17" t="n">
        <v>0</v>
      </c>
      <c r="G32" s="17" t="n">
        <v>0</v>
      </c>
      <c r="H32" s="17" t="n">
        <v>0</v>
      </c>
      <c r="I32" s="17" t="n">
        <v>0</v>
      </c>
      <c r="J32" s="17" t="n">
        <v>0</v>
      </c>
      <c r="K32" s="17" t="n">
        <v>0</v>
      </c>
      <c r="L32" s="17" t="n">
        <v>0</v>
      </c>
      <c r="M32" s="17" t="n">
        <v>0</v>
      </c>
      <c r="N32" s="17" t="n">
        <v>0</v>
      </c>
      <c r="O32" s="26" t="n">
        <f aca="false">SUM(C32:N32)</f>
        <v>0</v>
      </c>
    </row>
    <row r="33" customFormat="false" ht="15" hidden="false" customHeight="false" outlineLevel="0" collapsed="false">
      <c r="B33" s="25" t="s">
        <v>62</v>
      </c>
      <c r="C33" s="17" t="n">
        <v>0</v>
      </c>
      <c r="D33" s="17" t="n">
        <v>0</v>
      </c>
      <c r="E33" s="17" t="n">
        <v>0</v>
      </c>
      <c r="F33" s="17" t="n">
        <v>0</v>
      </c>
      <c r="G33" s="17" t="n">
        <v>0</v>
      </c>
      <c r="H33" s="17" t="n">
        <v>0</v>
      </c>
      <c r="I33" s="17" t="n">
        <v>0</v>
      </c>
      <c r="J33" s="17" t="n">
        <v>0</v>
      </c>
      <c r="K33" s="17" t="n">
        <v>0</v>
      </c>
      <c r="L33" s="17" t="n">
        <v>0</v>
      </c>
      <c r="M33" s="17" t="n">
        <v>0</v>
      </c>
      <c r="N33" s="17" t="n">
        <v>0</v>
      </c>
      <c r="O33" s="26" t="n">
        <f aca="false">SUM(C33:N33)</f>
        <v>0</v>
      </c>
    </row>
    <row r="34" customFormat="false" ht="15" hidden="false" customHeight="false" outlineLevel="0" collapsed="false">
      <c r="B34" s="25" t="s">
        <v>63</v>
      </c>
      <c r="C34" s="17" t="n">
        <v>0</v>
      </c>
      <c r="D34" s="17" t="n">
        <v>0</v>
      </c>
      <c r="E34" s="17" t="n">
        <v>0</v>
      </c>
      <c r="F34" s="17" t="n">
        <v>0</v>
      </c>
      <c r="G34" s="17" t="n">
        <v>0</v>
      </c>
      <c r="H34" s="17" t="n">
        <v>0</v>
      </c>
      <c r="I34" s="17" t="n">
        <v>0</v>
      </c>
      <c r="J34" s="17" t="n">
        <v>0</v>
      </c>
      <c r="K34" s="17" t="n">
        <v>0</v>
      </c>
      <c r="L34" s="17" t="n">
        <v>0</v>
      </c>
      <c r="M34" s="17" t="n">
        <v>0</v>
      </c>
      <c r="N34" s="17" t="n">
        <v>0</v>
      </c>
      <c r="O34" s="26" t="n">
        <f aca="false">SUM(C34:N34)</f>
        <v>0</v>
      </c>
    </row>
    <row r="35" customFormat="false" ht="15" hidden="false" customHeight="false" outlineLevel="0" collapsed="false">
      <c r="B35" s="27" t="s">
        <v>64</v>
      </c>
      <c r="C35" s="20" t="n">
        <f aca="false">SUM(C31:C34)</f>
        <v>0</v>
      </c>
      <c r="D35" s="20" t="n">
        <f aca="false">SUM(D31:D34)</f>
        <v>0</v>
      </c>
      <c r="E35" s="20" t="n">
        <f aca="false">SUM(E31:E34)</f>
        <v>0</v>
      </c>
      <c r="F35" s="20" t="n">
        <f aca="false">SUM(F31:F34)</f>
        <v>0</v>
      </c>
      <c r="G35" s="20" t="n">
        <f aca="false">SUM(G31:G34)</f>
        <v>0</v>
      </c>
      <c r="H35" s="20" t="n">
        <f aca="false">SUM(H31:H34)</f>
        <v>0</v>
      </c>
      <c r="I35" s="20" t="n">
        <f aca="false">SUM(I31:I34)</f>
        <v>0</v>
      </c>
      <c r="J35" s="20" t="n">
        <f aca="false">SUM(J31:J34)</f>
        <v>0</v>
      </c>
      <c r="K35" s="20" t="n">
        <f aca="false">SUM(K31:K34)</f>
        <v>0</v>
      </c>
      <c r="L35" s="20" t="n">
        <f aca="false">SUM(L31:L34)</f>
        <v>0</v>
      </c>
      <c r="M35" s="20" t="n">
        <f aca="false">SUM(M31:M34)</f>
        <v>0</v>
      </c>
      <c r="N35" s="20" t="n">
        <f aca="false">SUM(N31:N34)</f>
        <v>0</v>
      </c>
      <c r="O35" s="20" t="n">
        <f aca="false">SUM(O31:O34)</f>
        <v>0</v>
      </c>
    </row>
    <row r="37" customFormat="false" ht="15" hidden="false" customHeight="false" outlineLevel="0" collapsed="false">
      <c r="B37" s="23" t="s">
        <v>65</v>
      </c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</row>
    <row r="38" customFormat="false" ht="15" hidden="false" customHeight="false" outlineLevel="0" collapsed="false">
      <c r="B38" s="25" t="s">
        <v>66</v>
      </c>
      <c r="C38" s="17" t="n">
        <v>0</v>
      </c>
      <c r="D38" s="17" t="n">
        <v>0</v>
      </c>
      <c r="E38" s="17" t="n">
        <v>0</v>
      </c>
      <c r="F38" s="17" t="n">
        <v>0</v>
      </c>
      <c r="G38" s="17" t="n">
        <v>0</v>
      </c>
      <c r="H38" s="17" t="n">
        <v>0</v>
      </c>
      <c r="I38" s="17" t="n">
        <v>0</v>
      </c>
      <c r="J38" s="17" t="n">
        <v>0</v>
      </c>
      <c r="K38" s="17" t="n">
        <v>0</v>
      </c>
      <c r="L38" s="17" t="n">
        <v>0</v>
      </c>
      <c r="M38" s="17" t="n">
        <v>0</v>
      </c>
      <c r="N38" s="17" t="n">
        <v>0</v>
      </c>
      <c r="O38" s="26" t="n">
        <f aca="false">SUM(C38:N38)</f>
        <v>0</v>
      </c>
    </row>
    <row r="39" customFormat="false" ht="15" hidden="false" customHeight="false" outlineLevel="0" collapsed="false">
      <c r="B39" s="25" t="s">
        <v>67</v>
      </c>
      <c r="C39" s="17" t="n">
        <v>0</v>
      </c>
      <c r="D39" s="17" t="n">
        <v>0</v>
      </c>
      <c r="E39" s="17" t="n">
        <v>0</v>
      </c>
      <c r="F39" s="17" t="n">
        <v>0</v>
      </c>
      <c r="G39" s="17" t="n">
        <v>0</v>
      </c>
      <c r="H39" s="17" t="n">
        <v>0</v>
      </c>
      <c r="I39" s="17" t="n">
        <v>0</v>
      </c>
      <c r="J39" s="17" t="n">
        <v>0</v>
      </c>
      <c r="K39" s="17" t="n">
        <v>0</v>
      </c>
      <c r="L39" s="17" t="n">
        <v>0</v>
      </c>
      <c r="M39" s="17" t="n">
        <v>0</v>
      </c>
      <c r="N39" s="17" t="n">
        <v>0</v>
      </c>
      <c r="O39" s="26" t="n">
        <f aca="false">SUM(C39:N39)</f>
        <v>0</v>
      </c>
    </row>
    <row r="40" customFormat="false" ht="15" hidden="false" customHeight="false" outlineLevel="0" collapsed="false">
      <c r="B40" s="25" t="s">
        <v>68</v>
      </c>
      <c r="C40" s="17" t="n">
        <v>0</v>
      </c>
      <c r="D40" s="17" t="n">
        <v>0</v>
      </c>
      <c r="E40" s="17" t="n">
        <v>0</v>
      </c>
      <c r="F40" s="17" t="n">
        <v>0</v>
      </c>
      <c r="G40" s="17" t="n">
        <v>0</v>
      </c>
      <c r="H40" s="17" t="n">
        <v>0</v>
      </c>
      <c r="I40" s="17" t="n">
        <v>0</v>
      </c>
      <c r="J40" s="17" t="n">
        <v>0</v>
      </c>
      <c r="K40" s="17" t="n">
        <v>0</v>
      </c>
      <c r="L40" s="17" t="n">
        <v>0</v>
      </c>
      <c r="M40" s="17" t="n">
        <v>0</v>
      </c>
      <c r="N40" s="17" t="n">
        <v>0</v>
      </c>
      <c r="O40" s="26" t="n">
        <f aca="false">SUM(C40:N40)</f>
        <v>0</v>
      </c>
    </row>
    <row r="41" customFormat="false" ht="15" hidden="false" customHeight="false" outlineLevel="0" collapsed="false">
      <c r="B41" s="27" t="s">
        <v>69</v>
      </c>
      <c r="C41" s="20" t="n">
        <f aca="false">SUM(C38:C40)</f>
        <v>0</v>
      </c>
      <c r="D41" s="20" t="n">
        <f aca="false">SUM(D38:D40)</f>
        <v>0</v>
      </c>
      <c r="E41" s="20" t="n">
        <f aca="false">SUM(E38:E40)</f>
        <v>0</v>
      </c>
      <c r="F41" s="20" t="n">
        <f aca="false">SUM(F38:F40)</f>
        <v>0</v>
      </c>
      <c r="G41" s="20" t="n">
        <f aca="false">SUM(G38:G40)</f>
        <v>0</v>
      </c>
      <c r="H41" s="20" t="n">
        <f aca="false">SUM(H38:H40)</f>
        <v>0</v>
      </c>
      <c r="I41" s="20" t="n">
        <f aca="false">SUM(I38:I40)</f>
        <v>0</v>
      </c>
      <c r="J41" s="20" t="n">
        <f aca="false">SUM(J38:J40)</f>
        <v>0</v>
      </c>
      <c r="K41" s="20" t="n">
        <f aca="false">SUM(K38:K40)</f>
        <v>0</v>
      </c>
      <c r="L41" s="20" t="n">
        <f aca="false">SUM(L38:L40)</f>
        <v>0</v>
      </c>
      <c r="M41" s="20" t="n">
        <f aca="false">SUM(M38:M40)</f>
        <v>0</v>
      </c>
      <c r="N41" s="20" t="n">
        <f aca="false">SUM(N38:N40)</f>
        <v>0</v>
      </c>
      <c r="O41" s="20" t="n">
        <f aca="false">SUM(O38:O40)</f>
        <v>0</v>
      </c>
    </row>
    <row r="43" customFormat="false" ht="15" hidden="false" customHeight="false" outlineLevel="0" collapsed="false">
      <c r="B43" s="23" t="s">
        <v>70</v>
      </c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</row>
    <row r="44" customFormat="false" ht="15" hidden="false" customHeight="false" outlineLevel="0" collapsed="false">
      <c r="B44" s="25" t="s">
        <v>71</v>
      </c>
      <c r="C44" s="17" t="n">
        <v>0</v>
      </c>
      <c r="D44" s="17" t="n">
        <v>0</v>
      </c>
      <c r="E44" s="17" t="n">
        <v>0</v>
      </c>
      <c r="F44" s="17" t="n">
        <v>0</v>
      </c>
      <c r="G44" s="17" t="n">
        <v>0</v>
      </c>
      <c r="H44" s="17" t="n">
        <v>0</v>
      </c>
      <c r="I44" s="17" t="n">
        <v>0</v>
      </c>
      <c r="J44" s="17" t="n">
        <v>0</v>
      </c>
      <c r="K44" s="17" t="n">
        <v>0</v>
      </c>
      <c r="L44" s="17" t="n">
        <v>0</v>
      </c>
      <c r="M44" s="17" t="n">
        <v>0</v>
      </c>
      <c r="N44" s="17" t="n">
        <v>0</v>
      </c>
      <c r="O44" s="26" t="n">
        <f aca="false">SUM(C44:N44)</f>
        <v>0</v>
      </c>
    </row>
    <row r="45" customFormat="false" ht="15" hidden="false" customHeight="false" outlineLevel="0" collapsed="false">
      <c r="B45" s="25" t="s">
        <v>72</v>
      </c>
      <c r="C45" s="17" t="n">
        <v>0</v>
      </c>
      <c r="D45" s="17" t="n">
        <v>0</v>
      </c>
      <c r="E45" s="17" t="n">
        <v>0</v>
      </c>
      <c r="F45" s="17" t="n">
        <v>0</v>
      </c>
      <c r="G45" s="17" t="n">
        <v>0</v>
      </c>
      <c r="H45" s="17" t="n">
        <v>0</v>
      </c>
      <c r="I45" s="17" t="n">
        <v>0</v>
      </c>
      <c r="J45" s="17" t="n">
        <v>0</v>
      </c>
      <c r="K45" s="17" t="n">
        <v>0</v>
      </c>
      <c r="L45" s="17" t="n">
        <v>0</v>
      </c>
      <c r="M45" s="17" t="n">
        <v>0</v>
      </c>
      <c r="N45" s="17" t="n">
        <v>0</v>
      </c>
      <c r="O45" s="26" t="n">
        <f aca="false">SUM(C45:N45)</f>
        <v>0</v>
      </c>
    </row>
    <row r="46" customFormat="false" ht="15" hidden="false" customHeight="false" outlineLevel="0" collapsed="false">
      <c r="B46" s="25" t="s">
        <v>73</v>
      </c>
      <c r="C46" s="17" t="n">
        <v>0</v>
      </c>
      <c r="D46" s="17" t="n">
        <v>0</v>
      </c>
      <c r="E46" s="17" t="n">
        <v>0</v>
      </c>
      <c r="F46" s="17" t="n">
        <v>0</v>
      </c>
      <c r="G46" s="17" t="n">
        <v>0</v>
      </c>
      <c r="H46" s="17" t="n">
        <v>0</v>
      </c>
      <c r="I46" s="17" t="n">
        <v>0</v>
      </c>
      <c r="J46" s="17" t="n">
        <v>0</v>
      </c>
      <c r="K46" s="17" t="n">
        <v>0</v>
      </c>
      <c r="L46" s="17" t="n">
        <v>0</v>
      </c>
      <c r="M46" s="17" t="n">
        <v>0</v>
      </c>
      <c r="N46" s="17" t="n">
        <v>0</v>
      </c>
      <c r="O46" s="26" t="n">
        <f aca="false">SUM(C46:N46)</f>
        <v>0</v>
      </c>
    </row>
    <row r="47" customFormat="false" ht="15" hidden="false" customHeight="false" outlineLevel="0" collapsed="false">
      <c r="B47" s="25" t="s">
        <v>74</v>
      </c>
      <c r="C47" s="17" t="n">
        <v>0</v>
      </c>
      <c r="D47" s="17" t="n">
        <v>0</v>
      </c>
      <c r="E47" s="17" t="n">
        <v>0</v>
      </c>
      <c r="F47" s="17" t="n">
        <v>0</v>
      </c>
      <c r="G47" s="17" t="n">
        <v>0</v>
      </c>
      <c r="H47" s="17" t="n">
        <v>0</v>
      </c>
      <c r="I47" s="17" t="n">
        <v>0</v>
      </c>
      <c r="J47" s="17" t="n">
        <v>0</v>
      </c>
      <c r="K47" s="17" t="n">
        <v>0</v>
      </c>
      <c r="L47" s="17" t="n">
        <v>0</v>
      </c>
      <c r="M47" s="17" t="n">
        <v>0</v>
      </c>
      <c r="N47" s="17" t="n">
        <v>0</v>
      </c>
      <c r="O47" s="26" t="n">
        <f aca="false">SUM(C47:N47)</f>
        <v>0</v>
      </c>
    </row>
    <row r="48" customFormat="false" ht="15" hidden="false" customHeight="false" outlineLevel="0" collapsed="false">
      <c r="B48" s="25" t="s">
        <v>75</v>
      </c>
      <c r="C48" s="17" t="n">
        <v>0</v>
      </c>
      <c r="D48" s="17" t="n">
        <v>0</v>
      </c>
      <c r="E48" s="17" t="n">
        <v>0</v>
      </c>
      <c r="F48" s="17" t="n">
        <v>0</v>
      </c>
      <c r="G48" s="17" t="n">
        <v>0</v>
      </c>
      <c r="H48" s="17" t="n">
        <v>0</v>
      </c>
      <c r="I48" s="17" t="n">
        <v>0</v>
      </c>
      <c r="J48" s="17" t="n">
        <v>0</v>
      </c>
      <c r="K48" s="17" t="n">
        <v>0</v>
      </c>
      <c r="L48" s="17" t="n">
        <v>0</v>
      </c>
      <c r="M48" s="17" t="n">
        <v>0</v>
      </c>
      <c r="N48" s="17" t="n">
        <v>0</v>
      </c>
      <c r="O48" s="26" t="n">
        <f aca="false">SUM(C48:N48)</f>
        <v>0</v>
      </c>
    </row>
    <row r="49" customFormat="false" ht="15" hidden="false" customHeight="false" outlineLevel="0" collapsed="false">
      <c r="B49" s="27" t="s">
        <v>76</v>
      </c>
      <c r="C49" s="20" t="n">
        <f aca="false">SUM(C44:C48)</f>
        <v>0</v>
      </c>
      <c r="D49" s="20" t="n">
        <f aca="false">SUM(D44:D48)</f>
        <v>0</v>
      </c>
      <c r="E49" s="20" t="n">
        <f aca="false">SUM(E44:E48)</f>
        <v>0</v>
      </c>
      <c r="F49" s="20" t="n">
        <f aca="false">SUM(F44:F48)</f>
        <v>0</v>
      </c>
      <c r="G49" s="20" t="n">
        <f aca="false">SUM(G44:G48)</f>
        <v>0</v>
      </c>
      <c r="H49" s="20" t="n">
        <f aca="false">SUM(H44:H48)</f>
        <v>0</v>
      </c>
      <c r="I49" s="20" t="n">
        <f aca="false">SUM(I44:I48)</f>
        <v>0</v>
      </c>
      <c r="J49" s="20" t="n">
        <f aca="false">SUM(J44:J48)</f>
        <v>0</v>
      </c>
      <c r="K49" s="20" t="n">
        <f aca="false">SUM(K44:K48)</f>
        <v>0</v>
      </c>
      <c r="L49" s="20" t="n">
        <f aca="false">SUM(L44:L48)</f>
        <v>0</v>
      </c>
      <c r="M49" s="20" t="n">
        <f aca="false">SUM(M44:M48)</f>
        <v>0</v>
      </c>
      <c r="N49" s="20" t="n">
        <f aca="false">SUM(N44:N48)</f>
        <v>0</v>
      </c>
      <c r="O49" s="20" t="n">
        <f aca="false">SUM(O44:O48)</f>
        <v>0</v>
      </c>
    </row>
    <row r="51" customFormat="false" ht="15" hidden="false" customHeight="false" outlineLevel="0" collapsed="false">
      <c r="B51" s="23" t="s">
        <v>77</v>
      </c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</row>
    <row r="52" customFormat="false" ht="15" hidden="false" customHeight="false" outlineLevel="0" collapsed="false">
      <c r="B52" s="25" t="s">
        <v>78</v>
      </c>
      <c r="C52" s="17" t="n">
        <v>0</v>
      </c>
      <c r="D52" s="17" t="n">
        <v>0</v>
      </c>
      <c r="E52" s="17" t="n">
        <v>0</v>
      </c>
      <c r="F52" s="17" t="n">
        <v>0</v>
      </c>
      <c r="G52" s="17" t="n">
        <v>0</v>
      </c>
      <c r="H52" s="17" t="n">
        <v>0</v>
      </c>
      <c r="I52" s="17" t="n">
        <v>0</v>
      </c>
      <c r="J52" s="17" t="n">
        <v>0</v>
      </c>
      <c r="K52" s="17" t="n">
        <v>0</v>
      </c>
      <c r="L52" s="17" t="n">
        <v>0</v>
      </c>
      <c r="M52" s="17" t="n">
        <v>0</v>
      </c>
      <c r="N52" s="17" t="n">
        <v>0</v>
      </c>
      <c r="O52" s="26" t="n">
        <f aca="false">SUM(C52:N52)</f>
        <v>0</v>
      </c>
    </row>
    <row r="53" customFormat="false" ht="15" hidden="false" customHeight="false" outlineLevel="0" collapsed="false">
      <c r="B53" s="25" t="s">
        <v>79</v>
      </c>
      <c r="C53" s="17" t="n">
        <v>0</v>
      </c>
      <c r="D53" s="17" t="n">
        <v>0</v>
      </c>
      <c r="E53" s="17" t="n">
        <v>0</v>
      </c>
      <c r="F53" s="17" t="n">
        <v>0</v>
      </c>
      <c r="G53" s="17" t="n">
        <v>0</v>
      </c>
      <c r="H53" s="17" t="n">
        <v>0</v>
      </c>
      <c r="I53" s="17" t="n">
        <v>0</v>
      </c>
      <c r="J53" s="17" t="n">
        <v>0</v>
      </c>
      <c r="K53" s="17" t="n">
        <v>0</v>
      </c>
      <c r="L53" s="17" t="n">
        <v>0</v>
      </c>
      <c r="M53" s="17" t="n">
        <v>0</v>
      </c>
      <c r="N53" s="17" t="n">
        <v>0</v>
      </c>
      <c r="O53" s="26" t="n">
        <f aca="false">SUM(C53:N53)</f>
        <v>0</v>
      </c>
    </row>
    <row r="54" customFormat="false" ht="15" hidden="false" customHeight="false" outlineLevel="0" collapsed="false">
      <c r="B54" s="25" t="s">
        <v>80</v>
      </c>
      <c r="C54" s="17" t="n">
        <v>0</v>
      </c>
      <c r="D54" s="17" t="n">
        <v>0</v>
      </c>
      <c r="E54" s="17" t="n">
        <v>0</v>
      </c>
      <c r="F54" s="17" t="n">
        <v>0</v>
      </c>
      <c r="G54" s="17" t="n">
        <v>0</v>
      </c>
      <c r="H54" s="17" t="n">
        <v>0</v>
      </c>
      <c r="I54" s="17" t="n">
        <v>0</v>
      </c>
      <c r="J54" s="17" t="n">
        <v>0</v>
      </c>
      <c r="K54" s="17" t="n">
        <v>0</v>
      </c>
      <c r="L54" s="17" t="n">
        <v>0</v>
      </c>
      <c r="M54" s="17" t="n">
        <v>0</v>
      </c>
      <c r="N54" s="17" t="n">
        <v>0</v>
      </c>
      <c r="O54" s="26" t="n">
        <f aca="false">SUM(C54:N54)</f>
        <v>0</v>
      </c>
    </row>
    <row r="55" customFormat="false" ht="15" hidden="false" customHeight="false" outlineLevel="0" collapsed="false">
      <c r="B55" s="25" t="s">
        <v>81</v>
      </c>
      <c r="C55" s="17" t="n">
        <v>0</v>
      </c>
      <c r="D55" s="17" t="n">
        <v>0</v>
      </c>
      <c r="E55" s="17" t="n">
        <v>0</v>
      </c>
      <c r="F55" s="17" t="n">
        <v>0</v>
      </c>
      <c r="G55" s="17" t="n">
        <v>0</v>
      </c>
      <c r="H55" s="17" t="n">
        <v>0</v>
      </c>
      <c r="I55" s="17" t="n">
        <v>0</v>
      </c>
      <c r="J55" s="17" t="n">
        <v>0</v>
      </c>
      <c r="K55" s="17" t="n">
        <v>0</v>
      </c>
      <c r="L55" s="17" t="n">
        <v>0</v>
      </c>
      <c r="M55" s="17" t="n">
        <v>0</v>
      </c>
      <c r="N55" s="17" t="n">
        <v>0</v>
      </c>
      <c r="O55" s="26" t="n">
        <f aca="false">SUM(C55:N55)</f>
        <v>0</v>
      </c>
    </row>
    <row r="56" customFormat="false" ht="15" hidden="false" customHeight="false" outlineLevel="0" collapsed="false">
      <c r="B56" s="27" t="s">
        <v>82</v>
      </c>
      <c r="C56" s="20" t="n">
        <f aca="false">SUM(C52:C55)</f>
        <v>0</v>
      </c>
      <c r="D56" s="20" t="n">
        <f aca="false">SUM(D52:D55)</f>
        <v>0</v>
      </c>
      <c r="E56" s="20" t="n">
        <f aca="false">SUM(E52:E55)</f>
        <v>0</v>
      </c>
      <c r="F56" s="20" t="n">
        <f aca="false">SUM(F52:F55)</f>
        <v>0</v>
      </c>
      <c r="G56" s="20" t="n">
        <f aca="false">SUM(G52:G55)</f>
        <v>0</v>
      </c>
      <c r="H56" s="20" t="n">
        <f aca="false">SUM(H52:H55)</f>
        <v>0</v>
      </c>
      <c r="I56" s="20" t="n">
        <f aca="false">SUM(I52:I55)</f>
        <v>0</v>
      </c>
      <c r="J56" s="20" t="n">
        <f aca="false">SUM(J52:J55)</f>
        <v>0</v>
      </c>
      <c r="K56" s="20" t="n">
        <f aca="false">SUM(K52:K55)</f>
        <v>0</v>
      </c>
      <c r="L56" s="20" t="n">
        <f aca="false">SUM(L52:L55)</f>
        <v>0</v>
      </c>
      <c r="M56" s="20" t="n">
        <f aca="false">SUM(M52:M55)</f>
        <v>0</v>
      </c>
      <c r="N56" s="20" t="n">
        <f aca="false">SUM(N52:N55)</f>
        <v>0</v>
      </c>
      <c r="O56" s="20" t="n">
        <f aca="false">SUM(O52:O55)</f>
        <v>0</v>
      </c>
    </row>
    <row r="58" customFormat="false" ht="15" hidden="false" customHeight="false" outlineLevel="0" collapsed="false">
      <c r="B58" s="28" t="s">
        <v>83</v>
      </c>
      <c r="C58" s="29" t="n">
        <f aca="false">C21+C28+C35+C41+C49+C56</f>
        <v>0</v>
      </c>
      <c r="D58" s="29" t="n">
        <f aca="false">D21+D28+D35+D41+D49+D56</f>
        <v>0</v>
      </c>
      <c r="E58" s="29" t="n">
        <f aca="false">E21+E28+E35+E41+E49+E56</f>
        <v>0</v>
      </c>
      <c r="F58" s="29" t="n">
        <f aca="false">F21+F28+F35+F41+F49+F56</f>
        <v>0</v>
      </c>
      <c r="G58" s="29" t="n">
        <f aca="false">G21+G28+G35+G41+G49+G56</f>
        <v>0</v>
      </c>
      <c r="H58" s="29" t="n">
        <f aca="false">H21+H28+H35+H41+H49+H56</f>
        <v>0</v>
      </c>
      <c r="I58" s="29" t="n">
        <f aca="false">I21+I28+I35+I41+I49+I56</f>
        <v>0</v>
      </c>
      <c r="J58" s="29" t="n">
        <f aca="false">J21+J28+J35+J41+J49+J56</f>
        <v>0</v>
      </c>
      <c r="K58" s="29" t="n">
        <f aca="false">K21+K28+K35+K41+K49+K56</f>
        <v>0</v>
      </c>
      <c r="L58" s="29" t="n">
        <f aca="false">L21+L28+L35+L41+L49+L56</f>
        <v>0</v>
      </c>
      <c r="M58" s="29" t="n">
        <f aca="false">M21+M28+M35+M41+M49+M56</f>
        <v>0</v>
      </c>
      <c r="N58" s="29" t="n">
        <f aca="false">N21+N28+N35+N41+N49+N56</f>
        <v>0</v>
      </c>
      <c r="O58" s="29" t="n">
        <f aca="false">SUM(O21,O28,O35,O41,O49,O56)</f>
        <v>0</v>
      </c>
    </row>
    <row r="60" customFormat="false" ht="19.5" hidden="false" customHeight="true" outlineLevel="0" collapsed="false">
      <c r="B60" s="8" t="s">
        <v>84</v>
      </c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</row>
    <row r="61" customFormat="false" ht="15" hidden="false" customHeight="false" outlineLevel="0" collapsed="false">
      <c r="B61" s="22" t="s">
        <v>85</v>
      </c>
      <c r="C61" s="18" t="n">
        <f aca="false">C12-C58</f>
        <v>0</v>
      </c>
      <c r="D61" s="18" t="n">
        <f aca="false">D12-D58</f>
        <v>0</v>
      </c>
      <c r="E61" s="18" t="n">
        <f aca="false">E12-E58</f>
        <v>0</v>
      </c>
      <c r="F61" s="18" t="n">
        <f aca="false">F12-F58</f>
        <v>0</v>
      </c>
      <c r="G61" s="18" t="n">
        <f aca="false">G12-G58</f>
        <v>0</v>
      </c>
      <c r="H61" s="18" t="n">
        <f aca="false">H12-H58</f>
        <v>0</v>
      </c>
      <c r="I61" s="18" t="n">
        <f aca="false">I12-I58</f>
        <v>0</v>
      </c>
      <c r="J61" s="18" t="n">
        <f aca="false">J12-J58</f>
        <v>0</v>
      </c>
      <c r="K61" s="18" t="n">
        <f aca="false">K12-K58</f>
        <v>0</v>
      </c>
      <c r="L61" s="18" t="n">
        <f aca="false">L12-L58</f>
        <v>0</v>
      </c>
      <c r="M61" s="18" t="n">
        <f aca="false">M12-M58</f>
        <v>0</v>
      </c>
      <c r="N61" s="18" t="n">
        <f aca="false">N12-N58</f>
        <v>0</v>
      </c>
      <c r="O61" s="18" t="n">
        <f aca="false">SUM(C61:N61)</f>
        <v>0</v>
      </c>
    </row>
    <row r="62" customFormat="false" ht="15" hidden="false" customHeight="false" outlineLevel="0" collapsed="false">
      <c r="B62" s="30" t="s">
        <v>86</v>
      </c>
      <c r="C62" s="31" t="n">
        <f aca="false">IFERROR(C61/C12,0)</f>
        <v>0</v>
      </c>
      <c r="D62" s="31" t="n">
        <f aca="false">IFERROR(D61/D12,0)</f>
        <v>0</v>
      </c>
      <c r="E62" s="31" t="n">
        <f aca="false">IFERROR(E61/E12,0)</f>
        <v>0</v>
      </c>
      <c r="F62" s="31" t="n">
        <f aca="false">IFERROR(F61/F12,0)</f>
        <v>0</v>
      </c>
      <c r="G62" s="31" t="n">
        <f aca="false">IFERROR(G61/G12,0)</f>
        <v>0</v>
      </c>
      <c r="H62" s="31" t="n">
        <f aca="false">IFERROR(H61/H12,0)</f>
        <v>0</v>
      </c>
      <c r="I62" s="31" t="n">
        <f aca="false">IFERROR(I61/I12,0)</f>
        <v>0</v>
      </c>
      <c r="J62" s="31" t="n">
        <f aca="false">IFERROR(J61/J12,0)</f>
        <v>0</v>
      </c>
      <c r="K62" s="31" t="n">
        <f aca="false">IFERROR(K61/K12,0)</f>
        <v>0</v>
      </c>
      <c r="L62" s="31" t="n">
        <f aca="false">IFERROR(L61/L12,0)</f>
        <v>0</v>
      </c>
      <c r="M62" s="31" t="n">
        <f aca="false">IFERROR(M61/M12,0)</f>
        <v>0</v>
      </c>
      <c r="N62" s="31" t="n">
        <f aca="false">IFERROR(N61/N12,0)</f>
        <v>0</v>
      </c>
      <c r="O62" s="31" t="n">
        <f aca="false">IFERROR(O61/O12,0)</f>
        <v>0</v>
      </c>
    </row>
  </sheetData>
  <mergeCells count="5">
    <mergeCell ref="B2:O2"/>
    <mergeCell ref="B3:O3"/>
    <mergeCell ref="B5:O5"/>
    <mergeCell ref="B14:O14"/>
    <mergeCell ref="B60:O60"/>
  </mergeCells>
  <conditionalFormatting sqref="C61:N61">
    <cfRule type="cellIs" priority="2" operator="lessThan" aboveAverage="0" equalAverage="0" bottom="0" percent="0" rank="0" text="" dxfId="0">
      <formula>0</formula>
    </cfRule>
    <cfRule type="cellIs" priority="3" operator="greaterThanOrEqual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6" min="5" style="0" width="14"/>
    <col collapsed="false" customWidth="true" hidden="false" outlineLevel="0" max="10" min="7" style="0" width="16"/>
  </cols>
  <sheetData>
    <row r="2" customFormat="false" ht="27.75" hidden="false" customHeight="true" outlineLevel="0" collapsed="false">
      <c r="B2" s="11" t="s">
        <v>87</v>
      </c>
      <c r="C2" s="11"/>
      <c r="D2" s="11"/>
      <c r="E2" s="11"/>
      <c r="F2" s="11"/>
      <c r="G2" s="11"/>
      <c r="H2" s="11"/>
      <c r="I2" s="11"/>
      <c r="J2" s="11"/>
    </row>
    <row r="3" customFormat="false" ht="15" hidden="false" customHeight="false" outlineLevel="0" collapsed="false">
      <c r="B3" s="12" t="s">
        <v>88</v>
      </c>
      <c r="C3" s="12"/>
      <c r="D3" s="12"/>
      <c r="E3" s="12"/>
      <c r="F3" s="12"/>
      <c r="G3" s="12"/>
      <c r="H3" s="12"/>
      <c r="I3" s="12"/>
      <c r="J3" s="12"/>
    </row>
    <row r="5" customFormat="false" ht="19.5" hidden="false" customHeight="true" outlineLevel="0" collapsed="false">
      <c r="B5" s="13" t="s">
        <v>89</v>
      </c>
      <c r="C5" s="13"/>
      <c r="D5" s="13"/>
      <c r="E5" s="13"/>
      <c r="F5" s="13"/>
      <c r="G5" s="13"/>
      <c r="H5" s="13"/>
      <c r="I5" s="13"/>
      <c r="J5" s="13"/>
    </row>
    <row r="6" customFormat="false" ht="23.85" hidden="false" customHeight="false" outlineLevel="0" collapsed="false">
      <c r="B6" s="15" t="s">
        <v>90</v>
      </c>
      <c r="C6" s="15" t="s">
        <v>91</v>
      </c>
      <c r="D6" s="15" t="s">
        <v>92</v>
      </c>
      <c r="E6" s="15" t="s">
        <v>93</v>
      </c>
      <c r="F6" s="15" t="s">
        <v>94</v>
      </c>
      <c r="G6" s="15" t="s">
        <v>95</v>
      </c>
      <c r="H6" s="15" t="s">
        <v>96</v>
      </c>
      <c r="I6" s="15" t="s">
        <v>97</v>
      </c>
    </row>
    <row r="7" customFormat="false" ht="15" hidden="false" customHeight="false" outlineLevel="0" collapsed="false">
      <c r="B7" s="32" t="s">
        <v>98</v>
      </c>
      <c r="C7" s="17" t="n">
        <v>8500</v>
      </c>
      <c r="D7" s="33" t="n">
        <v>0.2399</v>
      </c>
      <c r="E7" s="17" t="n">
        <v>215</v>
      </c>
      <c r="F7" s="34" t="n">
        <f aca="false">RANK(D7,$D$7:$D$11,0)</f>
        <v>1</v>
      </c>
      <c r="G7" s="34" t="n">
        <f aca="false">RANK(C7,$C$7:$C$11,1)</f>
        <v>3</v>
      </c>
      <c r="H7" s="34" t="n">
        <f aca="false">IFERROR(-LN(1-(($D7/12)*$C7)/$E7)/LN(1+($D7/12)),"N/A")</f>
        <v>78.9313228413825</v>
      </c>
      <c r="I7" s="26" t="n">
        <f aca="false">IFERROR((H7*E7)-C7,"N/A")</f>
        <v>8470.23441089723</v>
      </c>
    </row>
    <row r="8" customFormat="false" ht="15" hidden="false" customHeight="false" outlineLevel="0" collapsed="false">
      <c r="B8" s="32" t="s">
        <v>99</v>
      </c>
      <c r="C8" s="17" t="n">
        <v>3200</v>
      </c>
      <c r="D8" s="33" t="n">
        <v>0.1999</v>
      </c>
      <c r="E8" s="17" t="n">
        <v>95</v>
      </c>
      <c r="F8" s="34" t="n">
        <f aca="false">RANK(D8,$D$7:$D$11,0)</f>
        <v>2</v>
      </c>
      <c r="G8" s="34" t="n">
        <f aca="false">RANK(C8,$C$7:$C$11,1)</f>
        <v>1</v>
      </c>
      <c r="H8" s="34" t="n">
        <f aca="false">IFERROR(-LN(1-(($D8/12)*$C8)/$E8)/LN(1+($D8/12)),"N/A")</f>
        <v>49.8474913084599</v>
      </c>
      <c r="I8" s="26" t="n">
        <f aca="false">IFERROR((H8*E8)-C8,"N/A")</f>
        <v>1535.51167430369</v>
      </c>
    </row>
    <row r="9" customFormat="false" ht="15" hidden="false" customHeight="false" outlineLevel="0" collapsed="false">
      <c r="B9" s="32" t="s">
        <v>100</v>
      </c>
      <c r="C9" s="17" t="n">
        <v>14500</v>
      </c>
      <c r="D9" s="33" t="n">
        <v>0.0649</v>
      </c>
      <c r="E9" s="17" t="n">
        <v>320</v>
      </c>
      <c r="F9" s="34" t="n">
        <f aca="false">RANK(D9,$D$7:$D$11,0)</f>
        <v>4</v>
      </c>
      <c r="G9" s="34" t="n">
        <f aca="false">RANK(C9,$C$7:$C$11,1)</f>
        <v>4</v>
      </c>
      <c r="H9" s="34" t="n">
        <f aca="false">IFERROR(-LN(1-(($D9/12)*$C9)/$E9)/LN(1+($D9/12)),"N/A")</f>
        <v>52.1201761948081</v>
      </c>
      <c r="I9" s="26" t="n">
        <f aca="false">IFERROR((H9*E9)-C9,"N/A")</f>
        <v>2178.45638233859</v>
      </c>
    </row>
    <row r="10" customFormat="false" ht="15" hidden="false" customHeight="false" outlineLevel="0" collapsed="false">
      <c r="B10" s="32" t="s">
        <v>101</v>
      </c>
      <c r="C10" s="17" t="n">
        <v>22000</v>
      </c>
      <c r="D10" s="33" t="n">
        <v>0.055</v>
      </c>
      <c r="E10" s="17" t="n">
        <v>240</v>
      </c>
      <c r="F10" s="34" t="n">
        <f aca="false">RANK(D10,$D$7:$D$11,0)</f>
        <v>5</v>
      </c>
      <c r="G10" s="34" t="n">
        <f aca="false">RANK(C10,$C$7:$C$11,1)</f>
        <v>5</v>
      </c>
      <c r="H10" s="34" t="n">
        <f aca="false">IFERROR(-LN(1-(($D10/12)*$C10)/$E10)/LN(1+($D10/12)),"N/A")</f>
        <v>119.17409407395</v>
      </c>
      <c r="I10" s="26" t="n">
        <f aca="false">IFERROR((H10*E10)-C10,"N/A")</f>
        <v>6601.78257774808</v>
      </c>
    </row>
    <row r="11" customFormat="false" ht="15" hidden="false" customHeight="false" outlineLevel="0" collapsed="false">
      <c r="B11" s="32" t="s">
        <v>102</v>
      </c>
      <c r="C11" s="17" t="n">
        <v>5000</v>
      </c>
      <c r="D11" s="33" t="n">
        <v>0.11</v>
      </c>
      <c r="E11" s="17" t="n">
        <v>165</v>
      </c>
      <c r="F11" s="34" t="n">
        <f aca="false">RANK(D11,$D$7:$D$11,0)</f>
        <v>3</v>
      </c>
      <c r="G11" s="34" t="n">
        <f aca="false">RANK(C11,$C$7:$C$11,1)</f>
        <v>2</v>
      </c>
      <c r="H11" s="34" t="n">
        <f aca="false">IFERROR(-LN(1-(($D11/12)*$C11)/$E11)/LN(1+($D11/12)),"N/A")</f>
        <v>35.6630892484037</v>
      </c>
      <c r="I11" s="26" t="n">
        <f aca="false">IFERROR((H11*E11)-C11,"N/A")</f>
        <v>884.409725986609</v>
      </c>
    </row>
    <row r="12" customFormat="false" ht="15" hidden="false" customHeight="false" outlineLevel="0" collapsed="false">
      <c r="B12" s="19" t="s">
        <v>103</v>
      </c>
      <c r="C12" s="20" t="n">
        <f aca="false">SUM(C7:C11)</f>
        <v>53200</v>
      </c>
      <c r="D12" s="35" t="n">
        <f aca="false">SUMPRODUCT(C7:C11,D7:D11)/C12</f>
        <v>0.101125563909774</v>
      </c>
      <c r="E12" s="20" t="n">
        <f aca="false">SUM(E7:E11)</f>
        <v>1035</v>
      </c>
      <c r="F12" s="36"/>
      <c r="G12" s="36"/>
      <c r="H12" s="36"/>
      <c r="I12" s="36"/>
    </row>
    <row r="14" customFormat="false" ht="15" hidden="false" customHeight="true" outlineLevel="0" collapsed="false">
      <c r="B14" s="22" t="s">
        <v>104</v>
      </c>
      <c r="C14" s="17" t="n">
        <v>300</v>
      </c>
      <c r="D14" s="37" t="s">
        <v>105</v>
      </c>
      <c r="E14" s="37"/>
      <c r="F14" s="37"/>
      <c r="G14" s="37"/>
      <c r="H14" s="37"/>
      <c r="I14" s="37"/>
      <c r="J14" s="37"/>
    </row>
    <row r="16" customFormat="false" ht="19.5" hidden="false" customHeight="true" outlineLevel="0" collapsed="false">
      <c r="B16" s="21" t="s">
        <v>106</v>
      </c>
      <c r="C16" s="21"/>
      <c r="D16" s="21"/>
      <c r="E16" s="21"/>
      <c r="F16" s="21"/>
      <c r="G16" s="21"/>
      <c r="H16" s="21"/>
      <c r="I16" s="21"/>
      <c r="J16" s="21"/>
    </row>
    <row r="17" customFormat="false" ht="23.85" hidden="false" customHeight="false" outlineLevel="0" collapsed="false">
      <c r="B17" s="15" t="s">
        <v>107</v>
      </c>
      <c r="C17" s="15" t="s">
        <v>108</v>
      </c>
      <c r="D17" s="15" t="s">
        <v>109</v>
      </c>
      <c r="E17" s="15" t="s">
        <v>110</v>
      </c>
      <c r="F17" s="15" t="s">
        <v>111</v>
      </c>
    </row>
    <row r="18" customFormat="false" ht="15" hidden="false" customHeight="false" outlineLevel="0" collapsed="false">
      <c r="B18" s="22" t="s">
        <v>112</v>
      </c>
      <c r="C18" s="30" t="s">
        <v>113</v>
      </c>
      <c r="D18" s="34" t="n">
        <f aca="false">ROUND((MAX(H7:H11)*(SUM(E7:E11)/(SUM(E7:E11)+C14))),0)</f>
        <v>92</v>
      </c>
      <c r="E18" s="26" t="n">
        <f aca="false">SUM(I7:I11)*0.62</f>
        <v>12195.64475819</v>
      </c>
      <c r="F18" s="26" t="n">
        <f aca="false">SUM(I7:I11)-D18</f>
        <v>19578.3947712742</v>
      </c>
    </row>
    <row r="19" customFormat="false" ht="15" hidden="false" customHeight="false" outlineLevel="0" collapsed="false">
      <c r="B19" s="22" t="s">
        <v>114</v>
      </c>
      <c r="C19" s="30" t="s">
        <v>115</v>
      </c>
      <c r="D19" s="34" t="n">
        <f aca="false">ROUND((MAX(H7:H11)*(SUM(E7:E11)/(SUM(E7:E11)+C14))*1.04),0)</f>
        <v>96</v>
      </c>
      <c r="E19" s="26" t="n">
        <f aca="false">SUM(I7:I11)*0.68</f>
        <v>13375.8684444665</v>
      </c>
      <c r="F19" s="26" t="n">
        <f aca="false">SUM(I7:I11)-D19</f>
        <v>19574.3947712742</v>
      </c>
    </row>
    <row r="21" customFormat="false" ht="45" hidden="false" customHeight="true" outlineLevel="0" collapsed="false">
      <c r="B21" s="37" t="s">
        <v>116</v>
      </c>
      <c r="C21" s="37"/>
      <c r="D21" s="37"/>
      <c r="E21" s="37"/>
      <c r="F21" s="37"/>
      <c r="G21" s="37"/>
      <c r="H21" s="37"/>
      <c r="I21" s="37"/>
      <c r="J21" s="37"/>
    </row>
  </sheetData>
  <mergeCells count="6">
    <mergeCell ref="B2:J2"/>
    <mergeCell ref="B3:J3"/>
    <mergeCell ref="B5:J5"/>
    <mergeCell ref="D14:J14"/>
    <mergeCell ref="B16:J16"/>
    <mergeCell ref="B21:J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6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9" min="3" style="0" width="16"/>
  </cols>
  <sheetData>
    <row r="2" customFormat="false" ht="27.75" hidden="false" customHeight="true" outlineLevel="0" collapsed="false">
      <c r="B2" s="11" t="s">
        <v>117</v>
      </c>
      <c r="C2" s="11"/>
      <c r="D2" s="11"/>
      <c r="E2" s="11"/>
      <c r="F2" s="11"/>
      <c r="G2" s="11"/>
      <c r="H2" s="11"/>
      <c r="I2" s="11"/>
    </row>
    <row r="3" customFormat="false" ht="15" hidden="false" customHeight="false" outlineLevel="0" collapsed="false">
      <c r="B3" s="12" t="s">
        <v>10</v>
      </c>
      <c r="C3" s="12"/>
      <c r="D3" s="12"/>
      <c r="E3" s="12"/>
      <c r="F3" s="12"/>
      <c r="G3" s="12"/>
      <c r="H3" s="12"/>
      <c r="I3" s="12"/>
    </row>
    <row r="5" customFormat="false" ht="19.5" hidden="false" customHeight="true" outlineLevel="0" collapsed="false">
      <c r="B5" s="13" t="s">
        <v>118</v>
      </c>
      <c r="C5" s="13"/>
      <c r="D5" s="13"/>
      <c r="E5" s="13"/>
      <c r="F5" s="13"/>
      <c r="G5" s="13"/>
      <c r="H5" s="13"/>
      <c r="I5" s="13"/>
    </row>
    <row r="6" customFormat="false" ht="15" hidden="false" customHeight="false" outlineLevel="0" collapsed="false">
      <c r="B6" s="16" t="s">
        <v>119</v>
      </c>
      <c r="C6" s="38" t="n">
        <v>32</v>
      </c>
    </row>
    <row r="7" customFormat="false" ht="15" hidden="false" customHeight="false" outlineLevel="0" collapsed="false">
      <c r="B7" s="16" t="s">
        <v>120</v>
      </c>
      <c r="C7" s="38" t="n">
        <v>60</v>
      </c>
    </row>
    <row r="8" customFormat="false" ht="15" hidden="false" customHeight="false" outlineLevel="0" collapsed="false">
      <c r="B8" s="16" t="s">
        <v>121</v>
      </c>
      <c r="C8" s="17" t="n">
        <v>85000</v>
      </c>
    </row>
    <row r="9" customFormat="false" ht="15" hidden="false" customHeight="false" outlineLevel="0" collapsed="false">
      <c r="B9" s="16" t="s">
        <v>122</v>
      </c>
      <c r="C9" s="17" t="n">
        <v>1500</v>
      </c>
    </row>
    <row r="10" customFormat="false" ht="15" hidden="false" customHeight="false" outlineLevel="0" collapsed="false">
      <c r="B10" s="16" t="s">
        <v>123</v>
      </c>
      <c r="C10" s="39" t="n">
        <v>0.03</v>
      </c>
    </row>
    <row r="11" customFormat="false" ht="15" hidden="false" customHeight="false" outlineLevel="0" collapsed="false">
      <c r="B11" s="16" t="s">
        <v>124</v>
      </c>
      <c r="C11" s="39" t="n">
        <v>0.07</v>
      </c>
    </row>
    <row r="12" customFormat="false" ht="15" hidden="false" customHeight="false" outlineLevel="0" collapsed="false">
      <c r="B12" s="16" t="s">
        <v>125</v>
      </c>
      <c r="C12" s="39" t="n">
        <v>0.045</v>
      </c>
    </row>
    <row r="13" customFormat="false" ht="15" hidden="false" customHeight="false" outlineLevel="0" collapsed="false">
      <c r="B13" s="16" t="s">
        <v>126</v>
      </c>
      <c r="C13" s="39" t="n">
        <v>0.028</v>
      </c>
    </row>
    <row r="14" customFormat="false" ht="15" hidden="false" customHeight="false" outlineLevel="0" collapsed="false">
      <c r="B14" s="16" t="s">
        <v>127</v>
      </c>
      <c r="C14" s="17" t="n">
        <v>90000</v>
      </c>
    </row>
    <row r="15" customFormat="false" ht="15" hidden="false" customHeight="false" outlineLevel="0" collapsed="false">
      <c r="B15" s="16" t="s">
        <v>128</v>
      </c>
      <c r="C15" s="38" t="n">
        <v>28</v>
      </c>
    </row>
    <row r="17" customFormat="false" ht="19.5" hidden="false" customHeight="true" outlineLevel="0" collapsed="false">
      <c r="B17" s="8" t="s">
        <v>129</v>
      </c>
      <c r="C17" s="8"/>
      <c r="D17" s="8"/>
      <c r="E17" s="8"/>
      <c r="F17" s="8"/>
      <c r="G17" s="8"/>
      <c r="H17" s="8"/>
      <c r="I17" s="8"/>
    </row>
    <row r="18" customFormat="false" ht="15" hidden="false" customHeight="false" outlineLevel="0" collapsed="false">
      <c r="B18" s="40" t="s">
        <v>130</v>
      </c>
      <c r="C18" s="41" t="n">
        <f aca="false">C7-C6</f>
        <v>28</v>
      </c>
    </row>
    <row r="19" customFormat="false" ht="15" hidden="false" customHeight="false" outlineLevel="0" collapsed="false">
      <c r="B19" s="40" t="s">
        <v>131</v>
      </c>
      <c r="C19" s="18" t="n">
        <f aca="false">C14*(1+C13)^C18</f>
        <v>195006.783912507</v>
      </c>
    </row>
    <row r="20" customFormat="false" ht="15" hidden="false" customHeight="false" outlineLevel="0" collapsed="false">
      <c r="B20" s="40" t="s">
        <v>132</v>
      </c>
      <c r="C20" s="18" t="n">
        <f aca="false">C19/0.04</f>
        <v>4875169.59781267</v>
      </c>
    </row>
    <row r="21" customFormat="false" ht="15" hidden="false" customHeight="false" outlineLevel="0" collapsed="false">
      <c r="B21" s="40" t="s">
        <v>133</v>
      </c>
      <c r="C21" s="18" t="n">
        <f aca="false">C19*(1-(1+C12)^(-C15))/C12</f>
        <v>3069967.13322903</v>
      </c>
    </row>
    <row r="22" customFormat="false" ht="15" hidden="false" customHeight="false" outlineLevel="0" collapsed="false">
      <c r="B22" s="42" t="s">
        <v>134</v>
      </c>
      <c r="C22" s="18" t="n">
        <f aca="false">INDEX(G28:G67,MATCH($C$7,C28:C67,0))</f>
        <v>2713076.45748676</v>
      </c>
    </row>
    <row r="23" customFormat="false" ht="15" hidden="false" customHeight="false" outlineLevel="0" collapsed="false">
      <c r="B23" s="40" t="s">
        <v>135</v>
      </c>
      <c r="C23" s="18" t="n">
        <f aca="false">C22-C21</f>
        <v>-356890.675742277</v>
      </c>
    </row>
    <row r="26" customFormat="false" ht="19.5" hidden="false" customHeight="true" outlineLevel="0" collapsed="false">
      <c r="B26" s="21" t="s">
        <v>136</v>
      </c>
      <c r="C26" s="21"/>
      <c r="D26" s="21"/>
      <c r="E26" s="21"/>
      <c r="F26" s="21"/>
      <c r="G26" s="21"/>
      <c r="H26" s="21"/>
      <c r="I26" s="21"/>
    </row>
    <row r="27" customFormat="false" ht="15" hidden="false" customHeight="false" outlineLevel="0" collapsed="false">
      <c r="B27" s="15" t="s">
        <v>137</v>
      </c>
      <c r="C27" s="15" t="s">
        <v>138</v>
      </c>
      <c r="D27" s="15" t="s">
        <v>139</v>
      </c>
      <c r="E27" s="15" t="s">
        <v>140</v>
      </c>
      <c r="F27" s="15" t="s">
        <v>141</v>
      </c>
      <c r="G27" s="15" t="s">
        <v>142</v>
      </c>
    </row>
    <row r="28" customFormat="false" ht="15" hidden="false" customHeight="false" outlineLevel="0" collapsed="false">
      <c r="B28" s="34" t="n">
        <v>1</v>
      </c>
      <c r="C28" s="34" t="n">
        <f aca="false">$C$6+B28-1</f>
        <v>32</v>
      </c>
      <c r="D28" s="26" t="n">
        <f aca="false">$C$8</f>
        <v>85000</v>
      </c>
      <c r="E28" s="26" t="n">
        <f aca="false">IF(C28&lt;$C$7,$C$9*12*(1+$C$10)^(B28-1),0)</f>
        <v>18000</v>
      </c>
      <c r="F28" s="26" t="n">
        <f aca="false">IF(C28&lt;$C$7,(D28+E28/2)*$C$11,(D28)*$C$12)</f>
        <v>6580</v>
      </c>
      <c r="G28" s="18" t="n">
        <f aca="false">D28+E28+F28</f>
        <v>109580</v>
      </c>
    </row>
    <row r="29" customFormat="false" ht="15" hidden="false" customHeight="false" outlineLevel="0" collapsed="false">
      <c r="B29" s="34" t="n">
        <f aca="false">B28+1</f>
        <v>2</v>
      </c>
      <c r="C29" s="34" t="n">
        <f aca="false">$C$6+B29-1</f>
        <v>33</v>
      </c>
      <c r="D29" s="26" t="n">
        <f aca="false">G28</f>
        <v>109580</v>
      </c>
      <c r="E29" s="26" t="n">
        <f aca="false">IF(C29&lt;$C$7,$C$9*12*(1+$C$10)^(B29-1),0)</f>
        <v>18540</v>
      </c>
      <c r="F29" s="26" t="n">
        <f aca="false">IF(C29&lt;$C$7,(D29+E29/2)*$C$11,(D29)*$C$12)</f>
        <v>8319.5</v>
      </c>
      <c r="G29" s="18" t="n">
        <f aca="false">D29+E29+F29</f>
        <v>136439.5</v>
      </c>
    </row>
    <row r="30" customFormat="false" ht="15" hidden="false" customHeight="false" outlineLevel="0" collapsed="false">
      <c r="B30" s="34" t="n">
        <f aca="false">B29+1</f>
        <v>3</v>
      </c>
      <c r="C30" s="34" t="n">
        <f aca="false">$C$6+B30-1</f>
        <v>34</v>
      </c>
      <c r="D30" s="26" t="n">
        <f aca="false">G29</f>
        <v>136439.5</v>
      </c>
      <c r="E30" s="26" t="n">
        <f aca="false">IF(C30&lt;$C$7,$C$9*12*(1+$C$10)^(B30-1),0)</f>
        <v>19096.2</v>
      </c>
      <c r="F30" s="26" t="n">
        <f aca="false">IF(C30&lt;$C$7,(D30+E30/2)*$C$11,(D30)*$C$12)</f>
        <v>10219.132</v>
      </c>
      <c r="G30" s="18" t="n">
        <f aca="false">D30+E30+F30</f>
        <v>165754.832</v>
      </c>
    </row>
    <row r="31" customFormat="false" ht="15" hidden="false" customHeight="false" outlineLevel="0" collapsed="false">
      <c r="B31" s="34" t="n">
        <f aca="false">B30+1</f>
        <v>4</v>
      </c>
      <c r="C31" s="34" t="n">
        <f aca="false">$C$6+B31-1</f>
        <v>35</v>
      </c>
      <c r="D31" s="26" t="n">
        <f aca="false">G30</f>
        <v>165754.832</v>
      </c>
      <c r="E31" s="26" t="n">
        <f aca="false">IF(C31&lt;$C$7,$C$9*12*(1+$C$10)^(B31-1),0)</f>
        <v>19669.086</v>
      </c>
      <c r="F31" s="26" t="n">
        <f aca="false">IF(C31&lt;$C$7,(D31+E31/2)*$C$11,(D31)*$C$12)</f>
        <v>12291.25625</v>
      </c>
      <c r="G31" s="18" t="n">
        <f aca="false">D31+E31+F31</f>
        <v>197715.17425</v>
      </c>
    </row>
    <row r="32" customFormat="false" ht="15" hidden="false" customHeight="false" outlineLevel="0" collapsed="false">
      <c r="B32" s="34" t="n">
        <f aca="false">B31+1</f>
        <v>5</v>
      </c>
      <c r="C32" s="34" t="n">
        <f aca="false">$C$6+B32-1</f>
        <v>36</v>
      </c>
      <c r="D32" s="26" t="n">
        <f aca="false">G31</f>
        <v>197715.17425</v>
      </c>
      <c r="E32" s="26" t="n">
        <f aca="false">IF(C32&lt;$C$7,$C$9*12*(1+$C$10)^(B32-1),0)</f>
        <v>20259.15858</v>
      </c>
      <c r="F32" s="26" t="n">
        <f aca="false">IF(C32&lt;$C$7,(D32+E32/2)*$C$11,(D32)*$C$12)</f>
        <v>14549.1327478</v>
      </c>
      <c r="G32" s="18" t="n">
        <f aca="false">D32+E32+F32</f>
        <v>232523.4655778</v>
      </c>
    </row>
    <row r="33" customFormat="false" ht="15" hidden="false" customHeight="false" outlineLevel="0" collapsed="false">
      <c r="B33" s="34" t="n">
        <f aca="false">B32+1</f>
        <v>6</v>
      </c>
      <c r="C33" s="34" t="n">
        <f aca="false">$C$6+B33-1</f>
        <v>37</v>
      </c>
      <c r="D33" s="26" t="n">
        <f aca="false">G32</f>
        <v>232523.4655778</v>
      </c>
      <c r="E33" s="26" t="n">
        <f aca="false">IF(C33&lt;$C$7,$C$9*12*(1+$C$10)^(B33-1),0)</f>
        <v>20866.9333374</v>
      </c>
      <c r="F33" s="26" t="n">
        <f aca="false">IF(C33&lt;$C$7,(D33+E33/2)*$C$11,(D33)*$C$12)</f>
        <v>17006.985257255</v>
      </c>
      <c r="G33" s="18" t="n">
        <f aca="false">D33+E33+F33</f>
        <v>270397.384172455</v>
      </c>
    </row>
    <row r="34" customFormat="false" ht="15" hidden="false" customHeight="false" outlineLevel="0" collapsed="false">
      <c r="B34" s="34" t="n">
        <f aca="false">B33+1</f>
        <v>7</v>
      </c>
      <c r="C34" s="34" t="n">
        <f aca="false">$C$6+B34-1</f>
        <v>38</v>
      </c>
      <c r="D34" s="26" t="n">
        <f aca="false">G33</f>
        <v>270397.384172455</v>
      </c>
      <c r="E34" s="26" t="n">
        <f aca="false">IF(C34&lt;$C$7,$C$9*12*(1+$C$10)^(B34-1),0)</f>
        <v>21492.941337522</v>
      </c>
      <c r="F34" s="26" t="n">
        <f aca="false">IF(C34&lt;$C$7,(D34+E34/2)*$C$11,(D34)*$C$12)</f>
        <v>19680.0698388851</v>
      </c>
      <c r="G34" s="18" t="n">
        <f aca="false">D34+E34+F34</f>
        <v>311570.395348862</v>
      </c>
    </row>
    <row r="35" customFormat="false" ht="15" hidden="false" customHeight="false" outlineLevel="0" collapsed="false">
      <c r="B35" s="34" t="n">
        <f aca="false">B34+1</f>
        <v>8</v>
      </c>
      <c r="C35" s="34" t="n">
        <f aca="false">$C$6+B35-1</f>
        <v>39</v>
      </c>
      <c r="D35" s="26" t="n">
        <f aca="false">G34</f>
        <v>311570.395348862</v>
      </c>
      <c r="E35" s="26" t="n">
        <f aca="false">IF(C35&lt;$C$7,$C$9*12*(1+$C$10)^(B35-1),0)</f>
        <v>22137.7295776477</v>
      </c>
      <c r="F35" s="26" t="n">
        <f aca="false">IF(C35&lt;$C$7,(D35+E35/2)*$C$11,(D35)*$C$12)</f>
        <v>22584.748209638</v>
      </c>
      <c r="G35" s="18" t="n">
        <f aca="false">D35+E35+F35</f>
        <v>356292.873136148</v>
      </c>
    </row>
    <row r="36" customFormat="false" ht="15" hidden="false" customHeight="false" outlineLevel="0" collapsed="false">
      <c r="B36" s="34" t="n">
        <f aca="false">B35+1</f>
        <v>9</v>
      </c>
      <c r="C36" s="34" t="n">
        <f aca="false">$C$6+B36-1</f>
        <v>40</v>
      </c>
      <c r="D36" s="26" t="n">
        <f aca="false">G35</f>
        <v>356292.873136148</v>
      </c>
      <c r="E36" s="26" t="n">
        <f aca="false">IF(C36&lt;$C$7,$C$9*12*(1+$C$10)^(B36-1),0)</f>
        <v>22801.8614649771</v>
      </c>
      <c r="F36" s="26" t="n">
        <f aca="false">IF(C36&lt;$C$7,(D36+E36/2)*$C$11,(D36)*$C$12)</f>
        <v>25738.5662708046</v>
      </c>
      <c r="G36" s="18" t="n">
        <f aca="false">D36+E36+F36</f>
        <v>404833.300871929</v>
      </c>
    </row>
    <row r="37" customFormat="false" ht="15" hidden="false" customHeight="false" outlineLevel="0" collapsed="false">
      <c r="B37" s="34" t="n">
        <f aca="false">B36+1</f>
        <v>10</v>
      </c>
      <c r="C37" s="34" t="n">
        <f aca="false">$C$6+B37-1</f>
        <v>41</v>
      </c>
      <c r="D37" s="26" t="n">
        <f aca="false">G36</f>
        <v>404833.300871929</v>
      </c>
      <c r="E37" s="26" t="n">
        <f aca="false">IF(C37&lt;$C$7,$C$9*12*(1+$C$10)^(B37-1),0)</f>
        <v>23485.9173089264</v>
      </c>
      <c r="F37" s="26" t="n">
        <f aca="false">IF(C37&lt;$C$7,(D37+E37/2)*$C$11,(D37)*$C$12)</f>
        <v>29160.3381668475</v>
      </c>
      <c r="G37" s="18" t="n">
        <f aca="false">D37+E37+F37</f>
        <v>457479.556347703</v>
      </c>
    </row>
    <row r="38" customFormat="false" ht="15" hidden="false" customHeight="false" outlineLevel="0" collapsed="false">
      <c r="B38" s="34" t="n">
        <f aca="false">B37+1</f>
        <v>11</v>
      </c>
      <c r="C38" s="34" t="n">
        <f aca="false">$C$6+B38-1</f>
        <v>42</v>
      </c>
      <c r="D38" s="26" t="n">
        <f aca="false">G37</f>
        <v>457479.556347703</v>
      </c>
      <c r="E38" s="26" t="n">
        <f aca="false">IF(C38&lt;$C$7,$C$9*12*(1+$C$10)^(B38-1),0)</f>
        <v>24190.4948281942</v>
      </c>
      <c r="F38" s="26" t="n">
        <f aca="false">IF(C38&lt;$C$7,(D38+E38/2)*$C$11,(D38)*$C$12)</f>
        <v>32870.236263326</v>
      </c>
      <c r="G38" s="18" t="n">
        <f aca="false">D38+E38+F38</f>
        <v>514540.287439224</v>
      </c>
    </row>
    <row r="39" customFormat="false" ht="15" hidden="false" customHeight="false" outlineLevel="0" collapsed="false">
      <c r="B39" s="34" t="n">
        <f aca="false">B38+1</f>
        <v>12</v>
      </c>
      <c r="C39" s="34" t="n">
        <f aca="false">$C$6+B39-1</f>
        <v>43</v>
      </c>
      <c r="D39" s="26" t="n">
        <f aca="false">G38</f>
        <v>514540.287439224</v>
      </c>
      <c r="E39" s="26" t="n">
        <f aca="false">IF(C39&lt;$C$7,$C$9*12*(1+$C$10)^(B39-1),0)</f>
        <v>24916.20967304</v>
      </c>
      <c r="F39" s="26" t="n">
        <f aca="false">IF(C39&lt;$C$7,(D39+E39/2)*$C$11,(D39)*$C$12)</f>
        <v>36889.8874593021</v>
      </c>
      <c r="G39" s="18" t="n">
        <f aca="false">D39+E39+F39</f>
        <v>576346.384571566</v>
      </c>
    </row>
    <row r="40" customFormat="false" ht="15" hidden="false" customHeight="false" outlineLevel="0" collapsed="false">
      <c r="B40" s="34" t="n">
        <f aca="false">B39+1</f>
        <v>13</v>
      </c>
      <c r="C40" s="34" t="n">
        <f aca="false">$C$6+B40-1</f>
        <v>44</v>
      </c>
      <c r="D40" s="26" t="n">
        <f aca="false">G39</f>
        <v>576346.384571566</v>
      </c>
      <c r="E40" s="26" t="n">
        <f aca="false">IF(C40&lt;$C$7,$C$9*12*(1+$C$10)^(B40-1),0)</f>
        <v>25663.6959632312</v>
      </c>
      <c r="F40" s="26" t="n">
        <f aca="false">IF(C40&lt;$C$7,(D40+E40/2)*$C$11,(D40)*$C$12)</f>
        <v>41242.4762787227</v>
      </c>
      <c r="G40" s="18" t="n">
        <f aca="false">D40+E40+F40</f>
        <v>643252.55681352</v>
      </c>
    </row>
    <row r="41" customFormat="false" ht="15" hidden="false" customHeight="false" outlineLevel="0" collapsed="false">
      <c r="B41" s="34" t="n">
        <f aca="false">B40+1</f>
        <v>14</v>
      </c>
      <c r="C41" s="34" t="n">
        <f aca="false">$C$6+B41-1</f>
        <v>45</v>
      </c>
      <c r="D41" s="26" t="n">
        <f aca="false">G40</f>
        <v>643252.55681352</v>
      </c>
      <c r="E41" s="26" t="n">
        <f aca="false">IF(C41&lt;$C$7,$C$9*12*(1+$C$10)^(B41-1),0)</f>
        <v>26433.6068421282</v>
      </c>
      <c r="F41" s="26" t="n">
        <f aca="false">IF(C41&lt;$C$7,(D41+E41/2)*$C$11,(D41)*$C$12)</f>
        <v>45952.8552164209</v>
      </c>
      <c r="G41" s="18" t="n">
        <f aca="false">D41+E41+F41</f>
        <v>715639.018872069</v>
      </c>
    </row>
    <row r="42" customFormat="false" ht="15" hidden="false" customHeight="false" outlineLevel="0" collapsed="false">
      <c r="B42" s="34" t="n">
        <f aca="false">B41+1</f>
        <v>15</v>
      </c>
      <c r="C42" s="34" t="n">
        <f aca="false">$C$6+B42-1</f>
        <v>46</v>
      </c>
      <c r="D42" s="26" t="n">
        <f aca="false">G41</f>
        <v>715639.018872069</v>
      </c>
      <c r="E42" s="26" t="n">
        <f aca="false">IF(C42&lt;$C$7,$C$9*12*(1+$C$10)^(B42-1),0)</f>
        <v>27226.615047392</v>
      </c>
      <c r="F42" s="26" t="n">
        <f aca="false">IF(C42&lt;$C$7,(D42+E42/2)*$C$11,(D42)*$C$12)</f>
        <v>51047.6628477035</v>
      </c>
      <c r="G42" s="18" t="n">
        <f aca="false">D42+E42+F42</f>
        <v>793913.296767164</v>
      </c>
    </row>
    <row r="43" customFormat="false" ht="15" hidden="false" customHeight="false" outlineLevel="0" collapsed="false">
      <c r="B43" s="34" t="n">
        <f aca="false">B42+1</f>
        <v>16</v>
      </c>
      <c r="C43" s="34" t="n">
        <f aca="false">$C$6+B43-1</f>
        <v>47</v>
      </c>
      <c r="D43" s="26" t="n">
        <f aca="false">G42</f>
        <v>793913.296767164</v>
      </c>
      <c r="E43" s="26" t="n">
        <f aca="false">IF(C43&lt;$C$7,$C$9*12*(1+$C$10)^(B43-1),0)</f>
        <v>28043.4134988138</v>
      </c>
      <c r="F43" s="26" t="n">
        <f aca="false">IF(C43&lt;$C$7,(D43+E43/2)*$C$11,(D43)*$C$12)</f>
        <v>56555.45024616</v>
      </c>
      <c r="G43" s="18" t="n">
        <f aca="false">D43+E43+F43</f>
        <v>878512.160512138</v>
      </c>
    </row>
    <row r="44" customFormat="false" ht="15" hidden="false" customHeight="false" outlineLevel="0" collapsed="false">
      <c r="B44" s="34" t="n">
        <f aca="false">B43+1</f>
        <v>17</v>
      </c>
      <c r="C44" s="34" t="n">
        <f aca="false">$C$6+B44-1</f>
        <v>48</v>
      </c>
      <c r="D44" s="26" t="n">
        <f aca="false">G43</f>
        <v>878512.160512138</v>
      </c>
      <c r="E44" s="26" t="n">
        <f aca="false">IF(C44&lt;$C$7,$C$9*12*(1+$C$10)^(B44-1),0)</f>
        <v>28884.7159037782</v>
      </c>
      <c r="F44" s="26" t="n">
        <f aca="false">IF(C44&lt;$C$7,(D44+E44/2)*$C$11,(D44)*$C$12)</f>
        <v>62506.8162924819</v>
      </c>
      <c r="G44" s="18" t="n">
        <f aca="false">D44+E44+F44</f>
        <v>969903.692708398</v>
      </c>
    </row>
    <row r="45" customFormat="false" ht="15" hidden="false" customHeight="false" outlineLevel="0" collapsed="false">
      <c r="B45" s="34" t="n">
        <f aca="false">B44+1</f>
        <v>18</v>
      </c>
      <c r="C45" s="34" t="n">
        <f aca="false">$C$6+B45-1</f>
        <v>49</v>
      </c>
      <c r="D45" s="26" t="n">
        <f aca="false">G44</f>
        <v>969903.692708398</v>
      </c>
      <c r="E45" s="26" t="n">
        <f aca="false">IF(C45&lt;$C$7,$C$9*12*(1+$C$10)^(B45-1),0)</f>
        <v>29751.2573808915</v>
      </c>
      <c r="F45" s="26" t="n">
        <f aca="false">IF(C45&lt;$C$7,(D45+E45/2)*$C$11,(D45)*$C$12)</f>
        <v>68934.5524979191</v>
      </c>
      <c r="G45" s="18" t="n">
        <f aca="false">D45+E45+F45</f>
        <v>1068589.50258721</v>
      </c>
    </row>
    <row r="46" customFormat="false" ht="15" hidden="false" customHeight="false" outlineLevel="0" collapsed="false">
      <c r="B46" s="34" t="n">
        <f aca="false">B45+1</f>
        <v>19</v>
      </c>
      <c r="C46" s="34" t="n">
        <f aca="false">$C$6+B46-1</f>
        <v>50</v>
      </c>
      <c r="D46" s="26" t="n">
        <f aca="false">G45</f>
        <v>1068589.50258721</v>
      </c>
      <c r="E46" s="26" t="n">
        <f aca="false">IF(C46&lt;$C$7,$C$9*12*(1+$C$10)^(B46-1),0)</f>
        <v>30643.7951023183</v>
      </c>
      <c r="F46" s="26" t="n">
        <f aca="false">IF(C46&lt;$C$7,(D46+E46/2)*$C$11,(D46)*$C$12)</f>
        <v>75873.7980096858</v>
      </c>
      <c r="G46" s="18" t="n">
        <f aca="false">D46+E46+F46</f>
        <v>1175107.09569921</v>
      </c>
    </row>
    <row r="47" customFormat="false" ht="15" hidden="false" customHeight="false" outlineLevel="0" collapsed="false">
      <c r="B47" s="34" t="n">
        <f aca="false">B46+1</f>
        <v>20</v>
      </c>
      <c r="C47" s="34" t="n">
        <f aca="false">$C$6+B47-1</f>
        <v>51</v>
      </c>
      <c r="D47" s="26" t="n">
        <f aca="false">G46</f>
        <v>1175107.09569921</v>
      </c>
      <c r="E47" s="26" t="n">
        <f aca="false">IF(C47&lt;$C$7,$C$9*12*(1+$C$10)^(B47-1),0)</f>
        <v>31563.1089553878</v>
      </c>
      <c r="F47" s="26" t="n">
        <f aca="false">IF(C47&lt;$C$7,(D47+E47/2)*$C$11,(D47)*$C$12)</f>
        <v>83362.2055123835</v>
      </c>
      <c r="G47" s="18" t="n">
        <f aca="false">D47+E47+F47</f>
        <v>1290032.41016698</v>
      </c>
    </row>
    <row r="48" customFormat="false" ht="15" hidden="false" customHeight="false" outlineLevel="0" collapsed="false">
      <c r="B48" s="34" t="n">
        <f aca="false">B47+1</f>
        <v>21</v>
      </c>
      <c r="C48" s="34" t="n">
        <f aca="false">$C$6+B48-1</f>
        <v>52</v>
      </c>
      <c r="D48" s="26" t="n">
        <f aca="false">G47</f>
        <v>1290032.41016698</v>
      </c>
      <c r="E48" s="26" t="n">
        <f aca="false">IF(C48&lt;$C$7,$C$9*12*(1+$C$10)^(B48-1),0)</f>
        <v>32510.0022240495</v>
      </c>
      <c r="F48" s="26" t="n">
        <f aca="false">IF(C48&lt;$C$7,(D48+E48/2)*$C$11,(D48)*$C$12)</f>
        <v>91440.1187895306</v>
      </c>
      <c r="G48" s="18" t="n">
        <f aca="false">D48+E48+F48</f>
        <v>1413982.53118056</v>
      </c>
    </row>
    <row r="49" customFormat="false" ht="15" hidden="false" customHeight="false" outlineLevel="0" collapsed="false">
      <c r="B49" s="34" t="n">
        <f aca="false">B48+1</f>
        <v>22</v>
      </c>
      <c r="C49" s="34" t="n">
        <f aca="false">$C$6+B49-1</f>
        <v>53</v>
      </c>
      <c r="D49" s="26" t="n">
        <f aca="false">G48</f>
        <v>1413982.53118056</v>
      </c>
      <c r="E49" s="26" t="n">
        <f aca="false">IF(C49&lt;$C$7,$C$9*12*(1+$C$10)^(B49-1),0)</f>
        <v>33485.302290771</v>
      </c>
      <c r="F49" s="26" t="n">
        <f aca="false">IF(C49&lt;$C$7,(D49+E49/2)*$C$11,(D49)*$C$12)</f>
        <v>100150.762762817</v>
      </c>
      <c r="G49" s="18" t="n">
        <f aca="false">D49+E49+F49</f>
        <v>1547618.59623415</v>
      </c>
    </row>
    <row r="50" customFormat="false" ht="15" hidden="false" customHeight="false" outlineLevel="0" collapsed="false">
      <c r="B50" s="34" t="n">
        <f aca="false">B49+1</f>
        <v>23</v>
      </c>
      <c r="C50" s="34" t="n">
        <f aca="false">$C$6+B50-1</f>
        <v>54</v>
      </c>
      <c r="D50" s="26" t="n">
        <f aca="false">G49</f>
        <v>1547618.59623415</v>
      </c>
      <c r="E50" s="26" t="n">
        <f aca="false">IF(C50&lt;$C$7,$C$9*12*(1+$C$10)^(B50-1),0)</f>
        <v>34489.8613594941</v>
      </c>
      <c r="F50" s="26" t="n">
        <f aca="false">IF(C50&lt;$C$7,(D50+E50/2)*$C$11,(D50)*$C$12)</f>
        <v>109540.446883973</v>
      </c>
      <c r="G50" s="18" t="n">
        <f aca="false">D50+E50+F50</f>
        <v>1691648.90447762</v>
      </c>
    </row>
    <row r="51" customFormat="false" ht="15" hidden="false" customHeight="false" outlineLevel="0" collapsed="false">
      <c r="B51" s="34" t="n">
        <f aca="false">B50+1</f>
        <v>24</v>
      </c>
      <c r="C51" s="34" t="n">
        <f aca="false">$C$6+B51-1</f>
        <v>55</v>
      </c>
      <c r="D51" s="26" t="n">
        <f aca="false">G50</f>
        <v>1691648.90447762</v>
      </c>
      <c r="E51" s="26" t="n">
        <f aca="false">IF(C51&lt;$C$7,$C$9*12*(1+$C$10)^(B51-1),0)</f>
        <v>35524.5572002789</v>
      </c>
      <c r="F51" s="26" t="n">
        <f aca="false">IF(C51&lt;$C$7,(D51+E51/2)*$C$11,(D51)*$C$12)</f>
        <v>119658.782815443</v>
      </c>
      <c r="G51" s="18" t="n">
        <f aca="false">D51+E51+F51</f>
        <v>1846832.24449334</v>
      </c>
    </row>
    <row r="52" customFormat="false" ht="15" hidden="false" customHeight="false" outlineLevel="0" collapsed="false">
      <c r="B52" s="34" t="n">
        <f aca="false">B51+1</f>
        <v>25</v>
      </c>
      <c r="C52" s="34" t="n">
        <f aca="false">$C$6+B52-1</f>
        <v>56</v>
      </c>
      <c r="D52" s="26" t="n">
        <f aca="false">G51</f>
        <v>1846832.24449334</v>
      </c>
      <c r="E52" s="26" t="n">
        <f aca="false">IF(C52&lt;$C$7,$C$9*12*(1+$C$10)^(B52-1),0)</f>
        <v>36590.2939162873</v>
      </c>
      <c r="F52" s="26" t="n">
        <f aca="false">IF(C52&lt;$C$7,(D52+E52/2)*$C$11,(D52)*$C$12)</f>
        <v>130558.917401604</v>
      </c>
      <c r="G52" s="18" t="n">
        <f aca="false">D52+E52+F52</f>
        <v>2013981.45581123</v>
      </c>
    </row>
    <row r="53" customFormat="false" ht="15" hidden="false" customHeight="false" outlineLevel="0" collapsed="false">
      <c r="B53" s="34" t="n">
        <f aca="false">B52+1</f>
        <v>26</v>
      </c>
      <c r="C53" s="34" t="n">
        <f aca="false">$C$6+B53-1</f>
        <v>57</v>
      </c>
      <c r="D53" s="26" t="n">
        <f aca="false">G52</f>
        <v>2013981.45581123</v>
      </c>
      <c r="E53" s="26" t="n">
        <f aca="false">IF(C53&lt;$C$7,$C$9*12*(1+$C$10)^(B53-1),0)</f>
        <v>37688.0027337759</v>
      </c>
      <c r="F53" s="26" t="n">
        <f aca="false">IF(C53&lt;$C$7,(D53+E53/2)*$C$11,(D53)*$C$12)</f>
        <v>142297.782002468</v>
      </c>
      <c r="G53" s="18" t="n">
        <f aca="false">D53+E53+F53</f>
        <v>2193967.24054748</v>
      </c>
    </row>
    <row r="54" customFormat="false" ht="15" hidden="false" customHeight="false" outlineLevel="0" collapsed="false">
      <c r="B54" s="34" t="n">
        <f aca="false">B53+1</f>
        <v>27</v>
      </c>
      <c r="C54" s="34" t="n">
        <f aca="false">$C$6+B54-1</f>
        <v>58</v>
      </c>
      <c r="D54" s="26" t="n">
        <f aca="false">G53</f>
        <v>2193967.24054748</v>
      </c>
      <c r="E54" s="26" t="n">
        <f aca="false">IF(C54&lt;$C$7,$C$9*12*(1+$C$10)^(B54-1),0)</f>
        <v>38818.6428157892</v>
      </c>
      <c r="F54" s="26" t="n">
        <f aca="false">IF(C54&lt;$C$7,(D54+E54/2)*$C$11,(D54)*$C$12)</f>
        <v>154936.359336876</v>
      </c>
      <c r="G54" s="18" t="n">
        <f aca="false">D54+E54+F54</f>
        <v>2387722.24270014</v>
      </c>
    </row>
    <row r="55" customFormat="false" ht="15" hidden="false" customHeight="false" outlineLevel="0" collapsed="false">
      <c r="B55" s="34" t="n">
        <f aca="false">B54+1</f>
        <v>28</v>
      </c>
      <c r="C55" s="34" t="n">
        <f aca="false">$C$6+B55-1</f>
        <v>59</v>
      </c>
      <c r="D55" s="26" t="n">
        <f aca="false">G54</f>
        <v>2387722.24270014</v>
      </c>
      <c r="E55" s="26" t="n">
        <f aca="false">IF(C55&lt;$C$7,$C$9*12*(1+$C$10)^(B55-1),0)</f>
        <v>39983.2021002628</v>
      </c>
      <c r="F55" s="26" t="n">
        <f aca="false">IF(C55&lt;$C$7,(D55+E55/2)*$C$11,(D55)*$C$12)</f>
        <v>168539.969062519</v>
      </c>
      <c r="G55" s="18" t="n">
        <f aca="false">D55+E55+F55</f>
        <v>2596245.41386292</v>
      </c>
    </row>
    <row r="56" customFormat="false" ht="15" hidden="false" customHeight="false" outlineLevel="0" collapsed="false">
      <c r="B56" s="34" t="n">
        <f aca="false">B55+1</f>
        <v>29</v>
      </c>
      <c r="C56" s="34" t="n">
        <f aca="false">$C$6+B56-1</f>
        <v>60</v>
      </c>
      <c r="D56" s="26" t="n">
        <f aca="false">G55</f>
        <v>2596245.41386292</v>
      </c>
      <c r="E56" s="26" t="n">
        <f aca="false">IF(C56&lt;$C$7,$C$9*12*(1+$C$10)^(B56-1),0)</f>
        <v>0</v>
      </c>
      <c r="F56" s="26" t="n">
        <f aca="false">IF(C56&lt;$C$7,(D56+E56/2)*$C$11,(D56)*$C$12)</f>
        <v>116831.043623832</v>
      </c>
      <c r="G56" s="18" t="n">
        <f aca="false">D56+E56+F56</f>
        <v>2713076.45748676</v>
      </c>
    </row>
    <row r="57" customFormat="false" ht="15" hidden="false" customHeight="false" outlineLevel="0" collapsed="false">
      <c r="B57" s="34" t="n">
        <f aca="false">B56+1</f>
        <v>30</v>
      </c>
      <c r="C57" s="34" t="n">
        <f aca="false">$C$6+B57-1</f>
        <v>61</v>
      </c>
      <c r="D57" s="26" t="n">
        <f aca="false">G56</f>
        <v>2713076.45748676</v>
      </c>
      <c r="E57" s="26" t="n">
        <f aca="false">IF(C57&lt;$C$7,$C$9*12*(1+$C$10)^(B57-1),0)</f>
        <v>0</v>
      </c>
      <c r="F57" s="26" t="n">
        <f aca="false">IF(C57&lt;$C$7,(D57+E57/2)*$C$11,(D57)*$C$12)</f>
        <v>122088.440586904</v>
      </c>
      <c r="G57" s="18" t="n">
        <f aca="false">D57+E57+F57</f>
        <v>2835164.89807366</v>
      </c>
    </row>
    <row r="58" customFormat="false" ht="15" hidden="false" customHeight="false" outlineLevel="0" collapsed="false">
      <c r="B58" s="34" t="n">
        <f aca="false">B57+1</f>
        <v>31</v>
      </c>
      <c r="C58" s="34" t="n">
        <f aca="false">$C$6+B58-1</f>
        <v>62</v>
      </c>
      <c r="D58" s="26" t="n">
        <f aca="false">G57</f>
        <v>2835164.89807366</v>
      </c>
      <c r="E58" s="26" t="n">
        <f aca="false">IF(C58&lt;$C$7,$C$9*12*(1+$C$10)^(B58-1),0)</f>
        <v>0</v>
      </c>
      <c r="F58" s="26" t="n">
        <f aca="false">IF(C58&lt;$C$7,(D58+E58/2)*$C$11,(D58)*$C$12)</f>
        <v>127582.420413315</v>
      </c>
      <c r="G58" s="18" t="n">
        <f aca="false">D58+E58+F58</f>
        <v>2962747.31848697</v>
      </c>
    </row>
    <row r="59" customFormat="false" ht="15" hidden="false" customHeight="false" outlineLevel="0" collapsed="false">
      <c r="B59" s="34" t="n">
        <f aca="false">B58+1</f>
        <v>32</v>
      </c>
      <c r="C59" s="34" t="n">
        <f aca="false">$C$6+B59-1</f>
        <v>63</v>
      </c>
      <c r="D59" s="26" t="n">
        <f aca="false">G58</f>
        <v>2962747.31848697</v>
      </c>
      <c r="E59" s="26" t="n">
        <f aca="false">IF(C59&lt;$C$7,$C$9*12*(1+$C$10)^(B59-1),0)</f>
        <v>0</v>
      </c>
      <c r="F59" s="26" t="n">
        <f aca="false">IF(C59&lt;$C$7,(D59+E59/2)*$C$11,(D59)*$C$12)</f>
        <v>133323.629331914</v>
      </c>
      <c r="G59" s="18" t="n">
        <f aca="false">D59+E59+F59</f>
        <v>3096070.94781889</v>
      </c>
    </row>
    <row r="60" customFormat="false" ht="15" hidden="false" customHeight="false" outlineLevel="0" collapsed="false">
      <c r="B60" s="34" t="n">
        <f aca="false">B59+1</f>
        <v>33</v>
      </c>
      <c r="C60" s="34" t="n">
        <f aca="false">$C$6+B60-1</f>
        <v>64</v>
      </c>
      <c r="D60" s="26" t="n">
        <f aca="false">G59</f>
        <v>3096070.94781889</v>
      </c>
      <c r="E60" s="26" t="n">
        <f aca="false">IF(C60&lt;$C$7,$C$9*12*(1+$C$10)^(B60-1),0)</f>
        <v>0</v>
      </c>
      <c r="F60" s="26" t="n">
        <f aca="false">IF(C60&lt;$C$7,(D60+E60/2)*$C$11,(D60)*$C$12)</f>
        <v>139323.19265185</v>
      </c>
      <c r="G60" s="18" t="n">
        <f aca="false">D60+E60+F60</f>
        <v>3235394.14047074</v>
      </c>
    </row>
    <row r="61" customFormat="false" ht="15" hidden="false" customHeight="false" outlineLevel="0" collapsed="false">
      <c r="B61" s="34" t="n">
        <f aca="false">B60+1</f>
        <v>34</v>
      </c>
      <c r="C61" s="34" t="n">
        <f aca="false">$C$6+B61-1</f>
        <v>65</v>
      </c>
      <c r="D61" s="26" t="n">
        <f aca="false">G60</f>
        <v>3235394.14047074</v>
      </c>
      <c r="E61" s="26" t="n">
        <f aca="false">IF(C61&lt;$C$7,$C$9*12*(1+$C$10)^(B61-1),0)</f>
        <v>0</v>
      </c>
      <c r="F61" s="26" t="n">
        <f aca="false">IF(C61&lt;$C$7,(D61+E61/2)*$C$11,(D61)*$C$12)</f>
        <v>145592.736321183</v>
      </c>
      <c r="G61" s="18" t="n">
        <f aca="false">D61+E61+F61</f>
        <v>3380986.87679192</v>
      </c>
    </row>
    <row r="62" customFormat="false" ht="15" hidden="false" customHeight="false" outlineLevel="0" collapsed="false">
      <c r="B62" s="34" t="n">
        <f aca="false">B61+1</f>
        <v>35</v>
      </c>
      <c r="C62" s="34" t="n">
        <f aca="false">$C$6+B62-1</f>
        <v>66</v>
      </c>
      <c r="D62" s="26" t="n">
        <f aca="false">G61</f>
        <v>3380986.87679192</v>
      </c>
      <c r="E62" s="26" t="n">
        <f aca="false">IF(C62&lt;$C$7,$C$9*12*(1+$C$10)^(B62-1),0)</f>
        <v>0</v>
      </c>
      <c r="F62" s="26" t="n">
        <f aca="false">IF(C62&lt;$C$7,(D62+E62/2)*$C$11,(D62)*$C$12)</f>
        <v>152144.409455636</v>
      </c>
      <c r="G62" s="18" t="n">
        <f aca="false">D62+E62+F62</f>
        <v>3533131.28624756</v>
      </c>
    </row>
    <row r="63" customFormat="false" ht="15" hidden="false" customHeight="false" outlineLevel="0" collapsed="false">
      <c r="B63" s="34" t="n">
        <f aca="false">B62+1</f>
        <v>36</v>
      </c>
      <c r="C63" s="34" t="n">
        <f aca="false">$C$6+B63-1</f>
        <v>67</v>
      </c>
      <c r="D63" s="26" t="n">
        <f aca="false">G62</f>
        <v>3533131.28624756</v>
      </c>
      <c r="E63" s="26" t="n">
        <f aca="false">IF(C63&lt;$C$7,$C$9*12*(1+$C$10)^(B63-1),0)</f>
        <v>0</v>
      </c>
      <c r="F63" s="26" t="n">
        <f aca="false">IF(C63&lt;$C$7,(D63+E63/2)*$C$11,(D63)*$C$12)</f>
        <v>158990.90788114</v>
      </c>
      <c r="G63" s="18" t="n">
        <f aca="false">D63+E63+F63</f>
        <v>3692122.1941287</v>
      </c>
    </row>
    <row r="64" customFormat="false" ht="15" hidden="false" customHeight="false" outlineLevel="0" collapsed="false">
      <c r="B64" s="34" t="n">
        <f aca="false">B63+1</f>
        <v>37</v>
      </c>
      <c r="C64" s="34" t="n">
        <f aca="false">$C$6+B64-1</f>
        <v>68</v>
      </c>
      <c r="D64" s="26" t="n">
        <f aca="false">G63</f>
        <v>3692122.1941287</v>
      </c>
      <c r="E64" s="26" t="n">
        <f aca="false">IF(C64&lt;$C$7,$C$9*12*(1+$C$10)^(B64-1),0)</f>
        <v>0</v>
      </c>
      <c r="F64" s="26" t="n">
        <f aca="false">IF(C64&lt;$C$7,(D64+E64/2)*$C$11,(D64)*$C$12)</f>
        <v>166145.498735791</v>
      </c>
      <c r="G64" s="18" t="n">
        <f aca="false">D64+E64+F64</f>
        <v>3858267.69286449</v>
      </c>
    </row>
    <row r="65" customFormat="false" ht="15" hidden="false" customHeight="false" outlineLevel="0" collapsed="false">
      <c r="B65" s="34" t="n">
        <f aca="false">B64+1</f>
        <v>38</v>
      </c>
      <c r="C65" s="34" t="n">
        <f aca="false">$C$6+B65-1</f>
        <v>69</v>
      </c>
      <c r="D65" s="26" t="n">
        <f aca="false">G64</f>
        <v>3858267.69286449</v>
      </c>
      <c r="E65" s="26" t="n">
        <f aca="false">IF(C65&lt;$C$7,$C$9*12*(1+$C$10)^(B65-1),0)</f>
        <v>0</v>
      </c>
      <c r="F65" s="26" t="n">
        <f aca="false">IF(C65&lt;$C$7,(D65+E65/2)*$C$11,(D65)*$C$12)</f>
        <v>173622.046178902</v>
      </c>
      <c r="G65" s="18" t="n">
        <f aca="false">D65+E65+F65</f>
        <v>4031889.73904339</v>
      </c>
    </row>
    <row r="66" customFormat="false" ht="15" hidden="false" customHeight="false" outlineLevel="0" collapsed="false">
      <c r="B66" s="34" t="n">
        <f aca="false">B65+1</f>
        <v>39</v>
      </c>
      <c r="C66" s="34" t="n">
        <f aca="false">$C$6+B66-1</f>
        <v>70</v>
      </c>
      <c r="D66" s="26" t="n">
        <f aca="false">G65</f>
        <v>4031889.73904339</v>
      </c>
      <c r="E66" s="26" t="n">
        <f aca="false">IF(C66&lt;$C$7,$C$9*12*(1+$C$10)^(B66-1),0)</f>
        <v>0</v>
      </c>
      <c r="F66" s="26" t="n">
        <f aca="false">IF(C66&lt;$C$7,(D66+E66/2)*$C$11,(D66)*$C$12)</f>
        <v>181435.038256953</v>
      </c>
      <c r="G66" s="18" t="n">
        <f aca="false">D66+E66+F66</f>
        <v>4213324.77730034</v>
      </c>
    </row>
    <row r="67" customFormat="false" ht="15" hidden="false" customHeight="false" outlineLevel="0" collapsed="false">
      <c r="B67" s="34" t="n">
        <f aca="false">B66+1</f>
        <v>40</v>
      </c>
      <c r="C67" s="34" t="n">
        <f aca="false">$C$6+B67-1</f>
        <v>71</v>
      </c>
      <c r="D67" s="26" t="n">
        <f aca="false">G66</f>
        <v>4213324.77730034</v>
      </c>
      <c r="E67" s="26" t="n">
        <f aca="false">IF(C67&lt;$C$7,$C$9*12*(1+$C$10)^(B67-1),0)</f>
        <v>0</v>
      </c>
      <c r="F67" s="26" t="n">
        <f aca="false">IF(C67&lt;$C$7,(D67+E67/2)*$C$11,(D67)*$C$12)</f>
        <v>189599.614978515</v>
      </c>
      <c r="G67" s="18" t="n">
        <f aca="false">D67+E67+F67</f>
        <v>4402924.39227886</v>
      </c>
    </row>
    <row r="69" customFormat="false" ht="49.5" hidden="false" customHeight="true" outlineLevel="0" collapsed="false">
      <c r="B69" s="37" t="s">
        <v>143</v>
      </c>
      <c r="C69" s="37"/>
      <c r="D69" s="37"/>
      <c r="E69" s="37"/>
      <c r="F69" s="37"/>
      <c r="G69" s="37"/>
      <c r="H69" s="37"/>
      <c r="I69" s="37"/>
    </row>
  </sheetData>
  <mergeCells count="6">
    <mergeCell ref="B2:I2"/>
    <mergeCell ref="B3:I3"/>
    <mergeCell ref="B5:I5"/>
    <mergeCell ref="B17:I17"/>
    <mergeCell ref="B26:I26"/>
    <mergeCell ref="B69:I69"/>
  </mergeCells>
  <conditionalFormatting sqref="C23">
    <cfRule type="cellIs" priority="2" operator="lessThan" aboveAverage="0" equalAverage="0" bottom="0" percent="0" rank="0" text="" dxfId="0">
      <formula>0</formula>
    </cfRule>
    <cfRule type="cellIs" priority="3" operator="greaterThanOrEqual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2"/>
    <col collapsed="false" customWidth="true" hidden="false" outlineLevel="0" max="7" min="3" style="0" width="13"/>
    <col collapsed="false" customWidth="true" hidden="false" outlineLevel="0" max="9" min="8" style="0" width="16"/>
    <col collapsed="false" customWidth="true" hidden="false" outlineLevel="0" max="10" min="10" style="0" width="13"/>
  </cols>
  <sheetData>
    <row r="2" customFormat="false" ht="27.75" hidden="false" customHeight="true" outlineLevel="0" collapsed="false">
      <c r="B2" s="11" t="s">
        <v>144</v>
      </c>
      <c r="C2" s="11"/>
      <c r="D2" s="11"/>
      <c r="E2" s="11"/>
      <c r="F2" s="11"/>
      <c r="G2" s="11"/>
      <c r="H2" s="11"/>
      <c r="I2" s="11"/>
      <c r="J2" s="11"/>
    </row>
    <row r="3" customFormat="false" ht="15" hidden="false" customHeight="false" outlineLevel="0" collapsed="false">
      <c r="B3" s="12" t="s">
        <v>145</v>
      </c>
      <c r="C3" s="12"/>
      <c r="D3" s="12"/>
      <c r="E3" s="12"/>
      <c r="F3" s="12"/>
      <c r="G3" s="12"/>
      <c r="H3" s="12"/>
      <c r="I3" s="12"/>
      <c r="J3" s="12"/>
    </row>
    <row r="5" customFormat="false" ht="19.5" hidden="false" customHeight="true" outlineLevel="0" collapsed="false">
      <c r="B5" s="13" t="s">
        <v>146</v>
      </c>
      <c r="C5" s="13"/>
      <c r="D5" s="13"/>
      <c r="E5" s="13"/>
      <c r="F5" s="13"/>
      <c r="G5" s="13"/>
      <c r="H5" s="13"/>
      <c r="I5" s="13"/>
      <c r="J5" s="13"/>
    </row>
    <row r="6" customFormat="false" ht="23.85" hidden="false" customHeight="false" outlineLevel="0" collapsed="false">
      <c r="B6" s="15" t="s">
        <v>147</v>
      </c>
      <c r="C6" s="15" t="s">
        <v>148</v>
      </c>
      <c r="D6" s="15" t="s">
        <v>149</v>
      </c>
      <c r="E6" s="15" t="s">
        <v>150</v>
      </c>
      <c r="F6" s="15" t="s">
        <v>151</v>
      </c>
      <c r="G6" s="15" t="s">
        <v>152</v>
      </c>
      <c r="H6" s="15" t="s">
        <v>153</v>
      </c>
      <c r="I6" s="15" t="s">
        <v>154</v>
      </c>
      <c r="J6" s="15" t="s">
        <v>155</v>
      </c>
    </row>
    <row r="7" customFormat="false" ht="15" hidden="false" customHeight="false" outlineLevel="0" collapsed="false">
      <c r="B7" s="32" t="s">
        <v>156</v>
      </c>
      <c r="C7" s="38" t="n">
        <v>120</v>
      </c>
      <c r="D7" s="17" t="n">
        <v>18000</v>
      </c>
      <c r="E7" s="17" t="n">
        <v>15200</v>
      </c>
      <c r="F7" s="26" t="n">
        <f aca="false">D7-C7</f>
        <v>17880</v>
      </c>
      <c r="G7" s="38" t="n">
        <v>410</v>
      </c>
      <c r="H7" s="43" t="str">
        <f aca="false">IF(G7&gt;365,"Long-Term","Short-Term")</f>
        <v>Long-Term</v>
      </c>
      <c r="I7" s="43" t="str">
        <f aca="false">IF(F7&lt;0,"Harvest Candidate","Hold")</f>
        <v>Hold</v>
      </c>
      <c r="J7" s="26" t="n">
        <f aca="false">IF(I7="Harvest Candidate",F7,0)</f>
        <v>0</v>
      </c>
    </row>
    <row r="8" customFormat="false" ht="15" hidden="false" customHeight="false" outlineLevel="0" collapsed="false">
      <c r="B8" s="32" t="s">
        <v>157</v>
      </c>
      <c r="C8" s="38" t="n">
        <v>80</v>
      </c>
      <c r="D8" s="17" t="n">
        <v>9200</v>
      </c>
      <c r="E8" s="17" t="n">
        <v>7850</v>
      </c>
      <c r="F8" s="26" t="n">
        <f aca="false">D8-C8</f>
        <v>9120</v>
      </c>
      <c r="G8" s="38" t="n">
        <v>200</v>
      </c>
      <c r="H8" s="43" t="str">
        <f aca="false">IF(G8&gt;365,"Long-Term","Short-Term")</f>
        <v>Short-Term</v>
      </c>
      <c r="I8" s="43" t="str">
        <f aca="false">IF(F8&lt;0,"Harvest Candidate","Hold")</f>
        <v>Hold</v>
      </c>
      <c r="J8" s="26" t="n">
        <f aca="false">IF(I8="Harvest Candidate",F8,0)</f>
        <v>0</v>
      </c>
    </row>
    <row r="9" customFormat="false" ht="15" hidden="false" customHeight="false" outlineLevel="0" collapsed="false">
      <c r="B9" s="32" t="s">
        <v>158</v>
      </c>
      <c r="C9" s="38" t="n">
        <v>200</v>
      </c>
      <c r="D9" s="17" t="n">
        <v>14000</v>
      </c>
      <c r="E9" s="17" t="n">
        <v>16100</v>
      </c>
      <c r="F9" s="26" t="n">
        <f aca="false">D9-C9</f>
        <v>13800</v>
      </c>
      <c r="G9" s="38" t="n">
        <v>600</v>
      </c>
      <c r="H9" s="43" t="str">
        <f aca="false">IF(G9&gt;365,"Long-Term","Short-Term")</f>
        <v>Long-Term</v>
      </c>
      <c r="I9" s="43" t="str">
        <f aca="false">IF(F9&lt;0,"Harvest Candidate","Hold")</f>
        <v>Hold</v>
      </c>
      <c r="J9" s="26" t="n">
        <f aca="false">IF(I9="Harvest Candidate",F9,0)</f>
        <v>0</v>
      </c>
    </row>
    <row r="10" customFormat="false" ht="15" hidden="false" customHeight="false" outlineLevel="0" collapsed="false">
      <c r="B10" s="32" t="s">
        <v>159</v>
      </c>
      <c r="C10" s="38" t="n">
        <v>300</v>
      </c>
      <c r="D10" s="17" t="n">
        <v>21000</v>
      </c>
      <c r="E10" s="17" t="n">
        <v>20400</v>
      </c>
      <c r="F10" s="26" t="n">
        <f aca="false">D10-C10</f>
        <v>20700</v>
      </c>
      <c r="G10" s="38" t="n">
        <v>800</v>
      </c>
      <c r="H10" s="43" t="str">
        <f aca="false">IF(G10&gt;365,"Long-Term","Short-Term")</f>
        <v>Long-Term</v>
      </c>
      <c r="I10" s="43" t="str">
        <f aca="false">IF(F10&lt;0,"Harvest Candidate","Hold")</f>
        <v>Hold</v>
      </c>
      <c r="J10" s="26" t="n">
        <f aca="false">IF(I10="Harvest Candidate",F10,0)</f>
        <v>0</v>
      </c>
    </row>
    <row r="11" customFormat="false" ht="15" hidden="false" customHeight="false" outlineLevel="0" collapsed="false">
      <c r="B11" s="32" t="s">
        <v>160</v>
      </c>
      <c r="C11" s="38" t="n">
        <v>150</v>
      </c>
      <c r="D11" s="17" t="n">
        <v>11500</v>
      </c>
      <c r="E11" s="17" t="n">
        <v>9100</v>
      </c>
      <c r="F11" s="26" t="n">
        <f aca="false">D11-C11</f>
        <v>11350</v>
      </c>
      <c r="G11" s="38" t="n">
        <v>95</v>
      </c>
      <c r="H11" s="43" t="str">
        <f aca="false">IF(G11&gt;365,"Long-Term","Short-Term")</f>
        <v>Short-Term</v>
      </c>
      <c r="I11" s="43" t="str">
        <f aca="false">IF(F11&lt;0,"Harvest Candidate","Hold")</f>
        <v>Hold</v>
      </c>
      <c r="J11" s="26" t="n">
        <f aca="false">IF(I11="Harvest Candidate",F11,0)</f>
        <v>0</v>
      </c>
    </row>
    <row r="12" customFormat="false" ht="15" hidden="false" customHeight="false" outlineLevel="0" collapsed="false">
      <c r="B12" s="19" t="s">
        <v>103</v>
      </c>
      <c r="C12" s="36"/>
      <c r="D12" s="20" t="n">
        <f aca="false">SUM(D7:D11)</f>
        <v>73700</v>
      </c>
      <c r="E12" s="20" t="n">
        <f aca="false">SUM(E7:E11)</f>
        <v>68650</v>
      </c>
      <c r="F12" s="20" t="n">
        <f aca="false">SUM(F7:F11)</f>
        <v>72850</v>
      </c>
      <c r="G12" s="36"/>
      <c r="H12" s="36"/>
      <c r="I12" s="36"/>
      <c r="J12" s="20" t="n">
        <f aca="false">SUM(J7:J11)</f>
        <v>0</v>
      </c>
    </row>
    <row r="14" customFormat="false" ht="19.5" hidden="false" customHeight="true" outlineLevel="0" collapsed="false">
      <c r="B14" s="21" t="s">
        <v>161</v>
      </c>
      <c r="C14" s="21"/>
      <c r="D14" s="21"/>
      <c r="E14" s="21"/>
      <c r="F14" s="21"/>
      <c r="G14" s="21"/>
      <c r="H14" s="21"/>
      <c r="I14" s="21"/>
      <c r="J14" s="21"/>
    </row>
    <row r="15" customFormat="false" ht="15" hidden="false" customHeight="false" outlineLevel="0" collapsed="false">
      <c r="B15" s="16" t="s">
        <v>162</v>
      </c>
      <c r="D15" s="26" t="n">
        <f aca="false">SUM(J7:J11)</f>
        <v>0</v>
      </c>
    </row>
    <row r="16" customFormat="false" ht="15" hidden="false" customHeight="false" outlineLevel="0" collapsed="false">
      <c r="B16" s="16" t="s">
        <v>163</v>
      </c>
      <c r="D16" s="17" t="n">
        <v>0</v>
      </c>
    </row>
    <row r="17" customFormat="false" ht="15" hidden="false" customHeight="false" outlineLevel="0" collapsed="false">
      <c r="B17" s="16" t="s">
        <v>164</v>
      </c>
      <c r="D17" s="17" t="n">
        <v>0</v>
      </c>
    </row>
    <row r="18" customFormat="false" ht="15" hidden="false" customHeight="false" outlineLevel="0" collapsed="false">
      <c r="B18" s="16" t="s">
        <v>165</v>
      </c>
      <c r="D18" s="17" t="n">
        <v>0</v>
      </c>
    </row>
    <row r="19" customFormat="false" ht="15" hidden="false" customHeight="false" outlineLevel="0" collapsed="false">
      <c r="B19" s="40" t="s">
        <v>166</v>
      </c>
      <c r="D19" s="18" t="n">
        <f aca="false">D15+D16+D17+D18</f>
        <v>0</v>
      </c>
    </row>
    <row r="20" customFormat="false" ht="15" hidden="false" customHeight="false" outlineLevel="0" collapsed="false">
      <c r="B20" s="16" t="s">
        <v>167</v>
      </c>
      <c r="D20" s="17" t="n">
        <v>3000</v>
      </c>
    </row>
    <row r="21" customFormat="false" ht="15" hidden="false" customHeight="false" outlineLevel="0" collapsed="false">
      <c r="B21" s="40" t="s">
        <v>168</v>
      </c>
      <c r="D21" s="18" t="n">
        <f aca="false">IF(D19&gt;=0,0,MIN(-D19,D20))</f>
        <v>0</v>
      </c>
    </row>
    <row r="22" customFormat="false" ht="15" hidden="false" customHeight="false" outlineLevel="0" collapsed="false">
      <c r="B22" s="44" t="s">
        <v>169</v>
      </c>
      <c r="C22" s="45"/>
      <c r="D22" s="29" t="n">
        <f aca="false">IF(D19&gt;=0,0,(-D19)-D21)</f>
        <v>0</v>
      </c>
    </row>
    <row r="24" customFormat="false" ht="60" hidden="false" customHeight="true" outlineLevel="0" collapsed="false">
      <c r="B24" s="37" t="s">
        <v>170</v>
      </c>
      <c r="C24" s="37"/>
      <c r="D24" s="37"/>
      <c r="E24" s="37"/>
      <c r="F24" s="37"/>
      <c r="G24" s="37"/>
      <c r="H24" s="37"/>
      <c r="I24" s="37"/>
      <c r="J24" s="37"/>
    </row>
  </sheetData>
  <mergeCells count="5">
    <mergeCell ref="B2:J2"/>
    <mergeCell ref="B3:J3"/>
    <mergeCell ref="B5:J5"/>
    <mergeCell ref="B14:J14"/>
    <mergeCell ref="B24:J24"/>
  </mergeCells>
  <conditionalFormatting sqref="F7:F11">
    <cfRule type="cellIs" priority="2" operator="lessThan" aboveAverage="0" equalAverage="0" bottom="0" percent="0" rank="0" text="" dxfId="0">
      <formula>0</formula>
    </cfRule>
    <cfRule type="cellIs" priority="3" operator="greaterThanOrEqual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M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6"/>
    <col collapsed="false" customWidth="true" hidden="false" outlineLevel="0" max="3" min="3" style="0" width="24"/>
    <col collapsed="false" customWidth="true" hidden="false" outlineLevel="0" max="11" min="4" style="0" width="12"/>
    <col collapsed="false" customWidth="true" hidden="false" outlineLevel="0" max="12" min="12" style="0" width="16"/>
  </cols>
  <sheetData>
    <row r="2" customFormat="false" ht="27.75" hidden="false" customHeight="true" outlineLevel="0" collapsed="false">
      <c r="B2" s="11" t="s">
        <v>171</v>
      </c>
      <c r="C2" s="11"/>
      <c r="D2" s="11"/>
      <c r="E2" s="11"/>
      <c r="F2" s="11"/>
      <c r="G2" s="11"/>
      <c r="H2" s="11"/>
      <c r="I2" s="11"/>
      <c r="J2" s="11"/>
      <c r="K2" s="11"/>
      <c r="L2" s="11"/>
    </row>
    <row r="3" customFormat="false" ht="15" hidden="false" customHeight="false" outlineLevel="0" collapsed="false">
      <c r="B3" s="12" t="s">
        <v>14</v>
      </c>
      <c r="C3" s="12"/>
      <c r="D3" s="12"/>
      <c r="E3" s="12"/>
      <c r="F3" s="12"/>
      <c r="G3" s="12"/>
      <c r="H3" s="12"/>
      <c r="I3" s="12"/>
      <c r="J3" s="12"/>
      <c r="K3" s="12"/>
      <c r="L3" s="12"/>
    </row>
    <row r="5" customFormat="false" ht="19.5" hidden="false" customHeight="true" outlineLevel="0" collapsed="false">
      <c r="B5" s="13" t="s">
        <v>172</v>
      </c>
      <c r="C5" s="13"/>
      <c r="D5" s="13"/>
      <c r="E5" s="13"/>
      <c r="F5" s="13"/>
      <c r="G5" s="13"/>
      <c r="H5" s="13"/>
      <c r="I5" s="13"/>
      <c r="J5" s="13"/>
      <c r="K5" s="13"/>
      <c r="L5" s="13"/>
    </row>
    <row r="6" customFormat="false" ht="15" hidden="false" customHeight="true" outlineLevel="0" collapsed="false">
      <c r="B6" s="22" t="s">
        <v>173</v>
      </c>
      <c r="C6" s="46"/>
      <c r="D6" s="46"/>
      <c r="E6" s="46"/>
      <c r="F6" s="46"/>
      <c r="G6" s="46"/>
      <c r="H6" s="46"/>
      <c r="I6" s="37" t="s">
        <v>174</v>
      </c>
      <c r="J6" s="37"/>
      <c r="K6" s="37"/>
      <c r="L6" s="37"/>
    </row>
    <row r="7" customFormat="false" ht="22.35" hidden="false" customHeight="true" outlineLevel="0" collapsed="false">
      <c r="B7" s="22" t="s">
        <v>175</v>
      </c>
      <c r="C7" s="46"/>
      <c r="D7" s="46"/>
      <c r="E7" s="46"/>
      <c r="F7" s="46"/>
      <c r="G7" s="46"/>
      <c r="H7" s="46"/>
      <c r="I7" s="37" t="s">
        <v>176</v>
      </c>
      <c r="J7" s="37"/>
      <c r="K7" s="37"/>
      <c r="L7" s="37"/>
    </row>
    <row r="8" customFormat="false" ht="15" hidden="false" customHeight="true" outlineLevel="0" collapsed="false">
      <c r="B8" s="22" t="s">
        <v>177</v>
      </c>
      <c r="C8" s="46"/>
      <c r="D8" s="46"/>
      <c r="E8" s="46"/>
      <c r="F8" s="46"/>
      <c r="G8" s="46"/>
      <c r="H8" s="46"/>
      <c r="I8" s="37" t="s">
        <v>178</v>
      </c>
      <c r="J8" s="37"/>
      <c r="K8" s="37"/>
      <c r="L8" s="37"/>
    </row>
    <row r="9" customFormat="false" ht="15" hidden="false" customHeight="true" outlineLevel="0" collapsed="false">
      <c r="B9" s="22" t="s">
        <v>179</v>
      </c>
      <c r="C9" s="46"/>
      <c r="D9" s="46"/>
      <c r="E9" s="46"/>
      <c r="F9" s="46"/>
      <c r="G9" s="46"/>
      <c r="H9" s="46"/>
      <c r="I9" s="37" t="s">
        <v>180</v>
      </c>
      <c r="J9" s="37"/>
      <c r="K9" s="37"/>
      <c r="L9" s="37"/>
    </row>
    <row r="10" customFormat="false" ht="15" hidden="false" customHeight="true" outlineLevel="0" collapsed="false">
      <c r="B10" s="22" t="s">
        <v>181</v>
      </c>
      <c r="C10" s="46"/>
      <c r="D10" s="46"/>
      <c r="E10" s="46"/>
      <c r="F10" s="46"/>
      <c r="G10" s="46"/>
      <c r="H10" s="46"/>
      <c r="I10" s="37" t="s">
        <v>182</v>
      </c>
      <c r="J10" s="37"/>
      <c r="K10" s="37"/>
      <c r="L10" s="37"/>
    </row>
    <row r="11" customFormat="false" ht="15" hidden="false" customHeight="true" outlineLevel="0" collapsed="false">
      <c r="B11" s="22" t="s">
        <v>183</v>
      </c>
      <c r="C11" s="46"/>
      <c r="D11" s="46"/>
      <c r="E11" s="46"/>
      <c r="F11" s="46"/>
      <c r="G11" s="46"/>
      <c r="H11" s="46"/>
      <c r="I11" s="37" t="s">
        <v>184</v>
      </c>
      <c r="J11" s="37"/>
      <c r="K11" s="37"/>
      <c r="L11" s="37"/>
    </row>
    <row r="12" customFormat="false" ht="15" hidden="false" customHeight="true" outlineLevel="0" collapsed="false">
      <c r="B12" s="22" t="s">
        <v>185</v>
      </c>
      <c r="C12" s="46"/>
      <c r="D12" s="46"/>
      <c r="E12" s="46"/>
      <c r="F12" s="46"/>
      <c r="G12" s="46"/>
      <c r="H12" s="46"/>
      <c r="I12" s="37" t="s">
        <v>186</v>
      </c>
      <c r="J12" s="37"/>
      <c r="K12" s="37"/>
      <c r="L12" s="37"/>
    </row>
    <row r="13" customFormat="false" ht="15" hidden="false" customHeight="true" outlineLevel="0" collapsed="false">
      <c r="B13" s="22" t="s">
        <v>187</v>
      </c>
      <c r="C13" s="46"/>
      <c r="D13" s="46"/>
      <c r="E13" s="46"/>
      <c r="F13" s="46"/>
      <c r="G13" s="46"/>
      <c r="H13" s="46"/>
      <c r="I13" s="37" t="s">
        <v>188</v>
      </c>
      <c r="J13" s="37"/>
      <c r="K13" s="37"/>
      <c r="L13" s="37"/>
    </row>
    <row r="15" customFormat="false" ht="19.5" hidden="false" customHeight="true" outlineLevel="0" collapsed="false">
      <c r="B15" s="21" t="s">
        <v>189</v>
      </c>
      <c r="C15" s="21"/>
      <c r="D15" s="21"/>
      <c r="E15" s="21"/>
      <c r="F15" s="21"/>
      <c r="G15" s="21"/>
      <c r="H15" s="21"/>
      <c r="I15" s="21"/>
      <c r="J15" s="21"/>
      <c r="K15" s="21"/>
      <c r="L15" s="21"/>
    </row>
    <row r="16" customFormat="false" ht="23.85" hidden="false" customHeight="false" outlineLevel="0" collapsed="false">
      <c r="B16" s="15" t="s">
        <v>190</v>
      </c>
      <c r="C16" s="15" t="s">
        <v>191</v>
      </c>
      <c r="D16" s="15" t="s">
        <v>192</v>
      </c>
      <c r="E16" s="15" t="s">
        <v>193</v>
      </c>
      <c r="F16" s="15" t="s">
        <v>194</v>
      </c>
      <c r="G16" s="15" t="s">
        <v>195</v>
      </c>
      <c r="H16" s="15" t="s">
        <v>196</v>
      </c>
      <c r="I16" s="15" t="s">
        <v>197</v>
      </c>
      <c r="J16" s="15" t="s">
        <v>198</v>
      </c>
      <c r="K16" s="15" t="s">
        <v>199</v>
      </c>
      <c r="L16" s="15" t="s">
        <v>200</v>
      </c>
      <c r="M16" s="15" t="s">
        <v>201</v>
      </c>
    </row>
    <row r="17" customFormat="false" ht="15" hidden="false" customHeight="false" outlineLevel="0" collapsed="false">
      <c r="B17" s="34" t="n">
        <v>1</v>
      </c>
      <c r="C17" s="47"/>
      <c r="D17" s="48"/>
      <c r="E17" s="38" t="n">
        <v>0</v>
      </c>
      <c r="F17" s="39" t="n">
        <v>0</v>
      </c>
      <c r="G17" s="17" t="n">
        <v>0</v>
      </c>
      <c r="H17" s="17" t="n">
        <v>0</v>
      </c>
      <c r="I17" s="49" t="n">
        <f aca="false">IFERROR((F17*G17)/((1-F17)*ABS(H17)),0)</f>
        <v>0</v>
      </c>
      <c r="J17" s="39" t="n">
        <v>0</v>
      </c>
      <c r="K17" s="50" t="n">
        <v>0</v>
      </c>
      <c r="L17" s="26" t="n">
        <f aca="false">E17*((F17*G17)-((1-F17)*ABS(H17)))</f>
        <v>0</v>
      </c>
      <c r="M17" s="43" t="str">
        <f aca="false">IF(AND(I17&gt;=1.5,K17&gt;=1,J17&lt;=0.2),"Promote to Paper Trading",IF(I17&lt;1,"Reject","Refine Parameters"))</f>
        <v>Reject</v>
      </c>
    </row>
    <row r="18" customFormat="false" ht="15" hidden="false" customHeight="false" outlineLevel="0" collapsed="false">
      <c r="B18" s="34" t="n">
        <v>2</v>
      </c>
      <c r="C18" s="47"/>
      <c r="D18" s="48"/>
      <c r="E18" s="38" t="n">
        <v>0</v>
      </c>
      <c r="F18" s="39" t="n">
        <v>0</v>
      </c>
      <c r="G18" s="17" t="n">
        <v>0</v>
      </c>
      <c r="H18" s="17" t="n">
        <v>0</v>
      </c>
      <c r="I18" s="49" t="n">
        <f aca="false">IFERROR((F18*G18)/((1-F18)*ABS(H18)),0)</f>
        <v>0</v>
      </c>
      <c r="J18" s="39" t="n">
        <v>0</v>
      </c>
      <c r="K18" s="50" t="n">
        <v>0</v>
      </c>
      <c r="L18" s="26" t="n">
        <f aca="false">E18*((F18*G18)-((1-F18)*ABS(H18)))</f>
        <v>0</v>
      </c>
      <c r="M18" s="43" t="str">
        <f aca="false">IF(AND(I18&gt;=1.5,K18&gt;=1,J18&lt;=0.2),"Promote to Paper Trading",IF(I18&lt;1,"Reject","Refine Parameters"))</f>
        <v>Reject</v>
      </c>
    </row>
    <row r="19" customFormat="false" ht="15" hidden="false" customHeight="false" outlineLevel="0" collapsed="false">
      <c r="B19" s="34" t="n">
        <v>3</v>
      </c>
      <c r="C19" s="47"/>
      <c r="D19" s="48"/>
      <c r="E19" s="38" t="n">
        <v>0</v>
      </c>
      <c r="F19" s="39" t="n">
        <v>0</v>
      </c>
      <c r="G19" s="17" t="n">
        <v>0</v>
      </c>
      <c r="H19" s="17" t="n">
        <v>0</v>
      </c>
      <c r="I19" s="49" t="n">
        <f aca="false">IFERROR((F19*G19)/((1-F19)*ABS(H19)),0)</f>
        <v>0</v>
      </c>
      <c r="J19" s="39" t="n">
        <v>0</v>
      </c>
      <c r="K19" s="50" t="n">
        <v>0</v>
      </c>
      <c r="L19" s="26" t="n">
        <f aca="false">E19*((F19*G19)-((1-F19)*ABS(H19)))</f>
        <v>0</v>
      </c>
      <c r="M19" s="43" t="str">
        <f aca="false">IF(AND(I19&gt;=1.5,K19&gt;=1,J19&lt;=0.2),"Promote to Paper Trading",IF(I19&lt;1,"Reject","Refine Parameters"))</f>
        <v>Reject</v>
      </c>
    </row>
    <row r="20" customFormat="false" ht="15" hidden="false" customHeight="false" outlineLevel="0" collapsed="false">
      <c r="B20" s="34" t="n">
        <v>4</v>
      </c>
      <c r="C20" s="47"/>
      <c r="D20" s="48"/>
      <c r="E20" s="38" t="n">
        <v>0</v>
      </c>
      <c r="F20" s="39" t="n">
        <v>0</v>
      </c>
      <c r="G20" s="17" t="n">
        <v>0</v>
      </c>
      <c r="H20" s="17" t="n">
        <v>0</v>
      </c>
      <c r="I20" s="49" t="n">
        <f aca="false">IFERROR((F20*G20)/((1-F20)*ABS(H20)),0)</f>
        <v>0</v>
      </c>
      <c r="J20" s="39" t="n">
        <v>0</v>
      </c>
      <c r="K20" s="50" t="n">
        <v>0</v>
      </c>
      <c r="L20" s="26" t="n">
        <f aca="false">E20*((F20*G20)-((1-F20)*ABS(H20)))</f>
        <v>0</v>
      </c>
      <c r="M20" s="43" t="str">
        <f aca="false">IF(AND(I20&gt;=1.5,K20&gt;=1,J20&lt;=0.2),"Promote to Paper Trading",IF(I20&lt;1,"Reject","Refine Parameters"))</f>
        <v>Reject</v>
      </c>
    </row>
    <row r="21" customFormat="false" ht="15" hidden="false" customHeight="false" outlineLevel="0" collapsed="false">
      <c r="B21" s="34" t="n">
        <v>5</v>
      </c>
      <c r="C21" s="47"/>
      <c r="D21" s="48"/>
      <c r="E21" s="38" t="n">
        <v>0</v>
      </c>
      <c r="F21" s="39" t="n">
        <v>0</v>
      </c>
      <c r="G21" s="17" t="n">
        <v>0</v>
      </c>
      <c r="H21" s="17" t="n">
        <v>0</v>
      </c>
      <c r="I21" s="49" t="n">
        <f aca="false">IFERROR((F21*G21)/((1-F21)*ABS(H21)),0)</f>
        <v>0</v>
      </c>
      <c r="J21" s="39" t="n">
        <v>0</v>
      </c>
      <c r="K21" s="50" t="n">
        <v>0</v>
      </c>
      <c r="L21" s="26" t="n">
        <f aca="false">E21*((F21*G21)-((1-F21)*ABS(H21)))</f>
        <v>0</v>
      </c>
      <c r="M21" s="43" t="str">
        <f aca="false">IF(AND(I21&gt;=1.5,K21&gt;=1,J21&lt;=0.2),"Promote to Paper Trading",IF(I21&lt;1,"Reject","Refine Parameters"))</f>
        <v>Reject</v>
      </c>
    </row>
    <row r="22" customFormat="false" ht="15" hidden="false" customHeight="false" outlineLevel="0" collapsed="false">
      <c r="B22" s="34" t="n">
        <v>6</v>
      </c>
      <c r="C22" s="47"/>
      <c r="D22" s="48"/>
      <c r="E22" s="38" t="n">
        <v>0</v>
      </c>
      <c r="F22" s="39" t="n">
        <v>0</v>
      </c>
      <c r="G22" s="17" t="n">
        <v>0</v>
      </c>
      <c r="H22" s="17" t="n">
        <v>0</v>
      </c>
      <c r="I22" s="49" t="n">
        <f aca="false">IFERROR((F22*G22)/((1-F22)*ABS(H22)),0)</f>
        <v>0</v>
      </c>
      <c r="J22" s="39" t="n">
        <v>0</v>
      </c>
      <c r="K22" s="50" t="n">
        <v>0</v>
      </c>
      <c r="L22" s="26" t="n">
        <f aca="false">E22*((F22*G22)-((1-F22)*ABS(H22)))</f>
        <v>0</v>
      </c>
      <c r="M22" s="43" t="str">
        <f aca="false">IF(AND(I22&gt;=1.5,K22&gt;=1,J22&lt;=0.2),"Promote to Paper Trading",IF(I22&lt;1,"Reject","Refine Parameters"))</f>
        <v>Reject</v>
      </c>
    </row>
    <row r="23" customFormat="false" ht="15" hidden="false" customHeight="false" outlineLevel="0" collapsed="false">
      <c r="B23" s="34" t="n">
        <v>7</v>
      </c>
      <c r="C23" s="47"/>
      <c r="D23" s="48"/>
      <c r="E23" s="38" t="n">
        <v>0</v>
      </c>
      <c r="F23" s="39" t="n">
        <v>0</v>
      </c>
      <c r="G23" s="17" t="n">
        <v>0</v>
      </c>
      <c r="H23" s="17" t="n">
        <v>0</v>
      </c>
      <c r="I23" s="49" t="n">
        <f aca="false">IFERROR((F23*G23)/((1-F23)*ABS(H23)),0)</f>
        <v>0</v>
      </c>
      <c r="J23" s="39" t="n">
        <v>0</v>
      </c>
      <c r="K23" s="50" t="n">
        <v>0</v>
      </c>
      <c r="L23" s="26" t="n">
        <f aca="false">E23*((F23*G23)-((1-F23)*ABS(H23)))</f>
        <v>0</v>
      </c>
      <c r="M23" s="43" t="str">
        <f aca="false">IF(AND(I23&gt;=1.5,K23&gt;=1,J23&lt;=0.2),"Promote to Paper Trading",IF(I23&lt;1,"Reject","Refine Parameters"))</f>
        <v>Reject</v>
      </c>
    </row>
    <row r="24" customFormat="false" ht="15" hidden="false" customHeight="false" outlineLevel="0" collapsed="false">
      <c r="B24" s="34" t="n">
        <v>8</v>
      </c>
      <c r="C24" s="47"/>
      <c r="D24" s="48"/>
      <c r="E24" s="38" t="n">
        <v>0</v>
      </c>
      <c r="F24" s="39" t="n">
        <v>0</v>
      </c>
      <c r="G24" s="17" t="n">
        <v>0</v>
      </c>
      <c r="H24" s="17" t="n">
        <v>0</v>
      </c>
      <c r="I24" s="49" t="n">
        <f aca="false">IFERROR((F24*G24)/((1-F24)*ABS(H24)),0)</f>
        <v>0</v>
      </c>
      <c r="J24" s="39" t="n">
        <v>0</v>
      </c>
      <c r="K24" s="50" t="n">
        <v>0</v>
      </c>
      <c r="L24" s="26" t="n">
        <f aca="false">E24*((F24*G24)-((1-F24)*ABS(H24)))</f>
        <v>0</v>
      </c>
      <c r="M24" s="43" t="str">
        <f aca="false">IF(AND(I24&gt;=1.5,K24&gt;=1,J24&lt;=0.2),"Promote to Paper Trading",IF(I24&lt;1,"Reject","Refine Parameters"))</f>
        <v>Reject</v>
      </c>
    </row>
    <row r="26" customFormat="false" ht="60" hidden="false" customHeight="true" outlineLevel="0" collapsed="false">
      <c r="B26" s="37" t="s">
        <v>202</v>
      </c>
      <c r="C26" s="37"/>
      <c r="D26" s="37"/>
      <c r="E26" s="37"/>
      <c r="F26" s="37"/>
      <c r="G26" s="37"/>
      <c r="H26" s="37"/>
      <c r="I26" s="37"/>
      <c r="J26" s="37"/>
      <c r="K26" s="37"/>
      <c r="L26" s="37"/>
    </row>
  </sheetData>
  <mergeCells count="21">
    <mergeCell ref="B2:L2"/>
    <mergeCell ref="B3:L3"/>
    <mergeCell ref="B5:L5"/>
    <mergeCell ref="C6:H6"/>
    <mergeCell ref="I6:L6"/>
    <mergeCell ref="C7:H7"/>
    <mergeCell ref="I7:L7"/>
    <mergeCell ref="C8:H8"/>
    <mergeCell ref="I8:L8"/>
    <mergeCell ref="C9:H9"/>
    <mergeCell ref="I9:L9"/>
    <mergeCell ref="C10:H10"/>
    <mergeCell ref="I10:L10"/>
    <mergeCell ref="C11:H11"/>
    <mergeCell ref="I11:L11"/>
    <mergeCell ref="C12:H12"/>
    <mergeCell ref="I12:L12"/>
    <mergeCell ref="C13:H13"/>
    <mergeCell ref="I13:L13"/>
    <mergeCell ref="B15:L15"/>
    <mergeCell ref="B26:L26"/>
  </mergeCells>
  <conditionalFormatting sqref="M17:M24">
    <cfRule type="cellIs" priority="2" operator="equal" aboveAverage="0" equalAverage="0" bottom="0" percent="0" rank="0" text="" dxfId="0">
      <formula>"Reject"</formula>
    </cfRule>
    <cfRule type="cellIs" priority="3" operator="equal" aboveAverage="0" equalAverage="0" bottom="0" percent="0" rank="0" text="" dxfId="1">
      <formula>"Promote to Paper Trading"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M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16"/>
    <col collapsed="false" customWidth="true" hidden="false" outlineLevel="0" max="5" min="5" style="0" width="9"/>
    <col collapsed="false" customWidth="true" hidden="false" outlineLevel="0" max="8" min="6" style="0" width="12"/>
    <col collapsed="false" customWidth="true" hidden="false" outlineLevel="0" max="10" min="9" style="0" width="10"/>
    <col collapsed="false" customWidth="true" hidden="false" outlineLevel="0" max="12" min="11" style="0" width="28"/>
    <col collapsed="false" customWidth="true" hidden="false" outlineLevel="0" max="13" min="13" style="0" width="14"/>
  </cols>
  <sheetData>
    <row r="2" customFormat="false" ht="27.75" hidden="false" customHeight="true" outlineLevel="0" collapsed="false">
      <c r="B2" s="11" t="s">
        <v>203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customFormat="false" ht="15" hidden="false" customHeight="false" outlineLevel="0" collapsed="false">
      <c r="B3" s="12" t="s">
        <v>16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</row>
    <row r="5" customFormat="false" ht="19.5" hidden="false" customHeight="true" outlineLevel="0" collapsed="false">
      <c r="B5" s="13" t="s">
        <v>204</v>
      </c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</row>
    <row r="6" customFormat="false" ht="23.85" hidden="false" customHeight="false" outlineLevel="0" collapsed="false">
      <c r="B6" s="15" t="s">
        <v>205</v>
      </c>
      <c r="C6" s="15" t="s">
        <v>206</v>
      </c>
      <c r="D6" s="15" t="s">
        <v>207</v>
      </c>
      <c r="E6" s="15" t="s">
        <v>208</v>
      </c>
      <c r="F6" s="15" t="s">
        <v>209</v>
      </c>
      <c r="G6" s="15" t="s">
        <v>210</v>
      </c>
      <c r="H6" s="15" t="s">
        <v>211</v>
      </c>
      <c r="I6" s="15" t="s">
        <v>212</v>
      </c>
      <c r="J6" s="15" t="s">
        <v>213</v>
      </c>
      <c r="K6" s="15" t="s">
        <v>214</v>
      </c>
      <c r="L6" s="15" t="s">
        <v>215</v>
      </c>
      <c r="M6" s="15" t="s">
        <v>216</v>
      </c>
    </row>
    <row r="7" customFormat="false" ht="15" hidden="false" customHeight="false" outlineLevel="0" collapsed="false">
      <c r="B7" s="47"/>
      <c r="C7" s="51"/>
      <c r="D7" s="48"/>
      <c r="E7" s="48"/>
      <c r="F7" s="52" t="n">
        <v>0</v>
      </c>
      <c r="G7" s="52" t="n">
        <v>0</v>
      </c>
      <c r="H7" s="38" t="n">
        <v>0</v>
      </c>
      <c r="I7" s="17" t="n">
        <v>0</v>
      </c>
      <c r="J7" s="50" t="n">
        <v>0</v>
      </c>
      <c r="K7" s="53"/>
      <c r="L7" s="53"/>
      <c r="M7" s="38" t="n">
        <v>3</v>
      </c>
    </row>
    <row r="8" customFormat="false" ht="15" hidden="false" customHeight="false" outlineLevel="0" collapsed="false">
      <c r="B8" s="47"/>
      <c r="C8" s="51"/>
      <c r="D8" s="48"/>
      <c r="E8" s="48"/>
      <c r="F8" s="52" t="n">
        <v>0</v>
      </c>
      <c r="G8" s="52" t="n">
        <v>0</v>
      </c>
      <c r="H8" s="38" t="n">
        <v>0</v>
      </c>
      <c r="I8" s="17" t="n">
        <v>0</v>
      </c>
      <c r="J8" s="50" t="n">
        <v>0</v>
      </c>
      <c r="K8" s="53"/>
      <c r="L8" s="53"/>
      <c r="M8" s="38" t="n">
        <v>3</v>
      </c>
    </row>
    <row r="9" customFormat="false" ht="15" hidden="false" customHeight="false" outlineLevel="0" collapsed="false">
      <c r="B9" s="47"/>
      <c r="C9" s="51"/>
      <c r="D9" s="48"/>
      <c r="E9" s="48"/>
      <c r="F9" s="52" t="n">
        <v>0</v>
      </c>
      <c r="G9" s="52" t="n">
        <v>0</v>
      </c>
      <c r="H9" s="38" t="n">
        <v>0</v>
      </c>
      <c r="I9" s="17" t="n">
        <v>0</v>
      </c>
      <c r="J9" s="50" t="n">
        <v>0</v>
      </c>
      <c r="K9" s="53"/>
      <c r="L9" s="53"/>
      <c r="M9" s="38" t="n">
        <v>3</v>
      </c>
    </row>
    <row r="10" customFormat="false" ht="15" hidden="false" customHeight="false" outlineLevel="0" collapsed="false">
      <c r="B10" s="47"/>
      <c r="C10" s="51"/>
      <c r="D10" s="48"/>
      <c r="E10" s="48"/>
      <c r="F10" s="52" t="n">
        <v>0</v>
      </c>
      <c r="G10" s="52" t="n">
        <v>0</v>
      </c>
      <c r="H10" s="38" t="n">
        <v>0</v>
      </c>
      <c r="I10" s="17" t="n">
        <v>0</v>
      </c>
      <c r="J10" s="50" t="n">
        <v>0</v>
      </c>
      <c r="K10" s="53"/>
      <c r="L10" s="53"/>
      <c r="M10" s="38" t="n">
        <v>3</v>
      </c>
    </row>
    <row r="11" customFormat="false" ht="15" hidden="false" customHeight="false" outlineLevel="0" collapsed="false">
      <c r="B11" s="47"/>
      <c r="C11" s="51"/>
      <c r="D11" s="48"/>
      <c r="E11" s="48"/>
      <c r="F11" s="52" t="n">
        <v>0</v>
      </c>
      <c r="G11" s="52" t="n">
        <v>0</v>
      </c>
      <c r="H11" s="38" t="n">
        <v>0</v>
      </c>
      <c r="I11" s="17" t="n">
        <v>0</v>
      </c>
      <c r="J11" s="50" t="n">
        <v>0</v>
      </c>
      <c r="K11" s="53"/>
      <c r="L11" s="53"/>
      <c r="M11" s="38" t="n">
        <v>3</v>
      </c>
    </row>
    <row r="12" customFormat="false" ht="15" hidden="false" customHeight="false" outlineLevel="0" collapsed="false">
      <c r="B12" s="47"/>
      <c r="C12" s="51"/>
      <c r="D12" s="48"/>
      <c r="E12" s="48"/>
      <c r="F12" s="52" t="n">
        <v>0</v>
      </c>
      <c r="G12" s="52" t="n">
        <v>0</v>
      </c>
      <c r="H12" s="38" t="n">
        <v>0</v>
      </c>
      <c r="I12" s="17" t="n">
        <v>0</v>
      </c>
      <c r="J12" s="50" t="n">
        <v>0</v>
      </c>
      <c r="K12" s="53"/>
      <c r="L12" s="53"/>
      <c r="M12" s="38" t="n">
        <v>3</v>
      </c>
    </row>
    <row r="13" customFormat="false" ht="15" hidden="false" customHeight="false" outlineLevel="0" collapsed="false">
      <c r="B13" s="47"/>
      <c r="C13" s="51"/>
      <c r="D13" s="48"/>
      <c r="E13" s="48"/>
      <c r="F13" s="52" t="n">
        <v>0</v>
      </c>
      <c r="G13" s="52" t="n">
        <v>0</v>
      </c>
      <c r="H13" s="38" t="n">
        <v>0</v>
      </c>
      <c r="I13" s="17" t="n">
        <v>0</v>
      </c>
      <c r="J13" s="50" t="n">
        <v>0</v>
      </c>
      <c r="K13" s="53"/>
      <c r="L13" s="53"/>
      <c r="M13" s="38" t="n">
        <v>3</v>
      </c>
    </row>
    <row r="14" customFormat="false" ht="15" hidden="false" customHeight="false" outlineLevel="0" collapsed="false">
      <c r="B14" s="47"/>
      <c r="C14" s="51"/>
      <c r="D14" s="48"/>
      <c r="E14" s="48"/>
      <c r="F14" s="52" t="n">
        <v>0</v>
      </c>
      <c r="G14" s="52" t="n">
        <v>0</v>
      </c>
      <c r="H14" s="38" t="n">
        <v>0</v>
      </c>
      <c r="I14" s="17" t="n">
        <v>0</v>
      </c>
      <c r="J14" s="50" t="n">
        <v>0</v>
      </c>
      <c r="K14" s="53"/>
      <c r="L14" s="53"/>
      <c r="M14" s="38" t="n">
        <v>3</v>
      </c>
    </row>
    <row r="15" customFormat="false" ht="15" hidden="false" customHeight="false" outlineLevel="0" collapsed="false">
      <c r="B15" s="47"/>
      <c r="C15" s="51"/>
      <c r="D15" s="48"/>
      <c r="E15" s="48"/>
      <c r="F15" s="52" t="n">
        <v>0</v>
      </c>
      <c r="G15" s="52" t="n">
        <v>0</v>
      </c>
      <c r="H15" s="38" t="n">
        <v>0</v>
      </c>
      <c r="I15" s="17" t="n">
        <v>0</v>
      </c>
      <c r="J15" s="50" t="n">
        <v>0</v>
      </c>
      <c r="K15" s="53"/>
      <c r="L15" s="53"/>
      <c r="M15" s="38" t="n">
        <v>3</v>
      </c>
    </row>
    <row r="16" customFormat="false" ht="15" hidden="false" customHeight="false" outlineLevel="0" collapsed="false">
      <c r="B16" s="47"/>
      <c r="C16" s="51"/>
      <c r="D16" s="48"/>
      <c r="E16" s="48"/>
      <c r="F16" s="52" t="n">
        <v>0</v>
      </c>
      <c r="G16" s="52" t="n">
        <v>0</v>
      </c>
      <c r="H16" s="38" t="n">
        <v>0</v>
      </c>
      <c r="I16" s="17" t="n">
        <v>0</v>
      </c>
      <c r="J16" s="50" t="n">
        <v>0</v>
      </c>
      <c r="K16" s="53"/>
      <c r="L16" s="53"/>
      <c r="M16" s="38" t="n">
        <v>3</v>
      </c>
    </row>
    <row r="17" customFormat="false" ht="15" hidden="false" customHeight="false" outlineLevel="0" collapsed="false">
      <c r="B17" s="47"/>
      <c r="C17" s="51"/>
      <c r="D17" s="48"/>
      <c r="E17" s="48"/>
      <c r="F17" s="52" t="n">
        <v>0</v>
      </c>
      <c r="G17" s="52" t="n">
        <v>0</v>
      </c>
      <c r="H17" s="38" t="n">
        <v>0</v>
      </c>
      <c r="I17" s="17" t="n">
        <v>0</v>
      </c>
      <c r="J17" s="50" t="n">
        <v>0</v>
      </c>
      <c r="K17" s="53"/>
      <c r="L17" s="53"/>
      <c r="M17" s="38" t="n">
        <v>3</v>
      </c>
    </row>
    <row r="18" customFormat="false" ht="15" hidden="false" customHeight="false" outlineLevel="0" collapsed="false">
      <c r="B18" s="47"/>
      <c r="C18" s="51"/>
      <c r="D18" s="48"/>
      <c r="E18" s="48"/>
      <c r="F18" s="52" t="n">
        <v>0</v>
      </c>
      <c r="G18" s="52" t="n">
        <v>0</v>
      </c>
      <c r="H18" s="38" t="n">
        <v>0</v>
      </c>
      <c r="I18" s="17" t="n">
        <v>0</v>
      </c>
      <c r="J18" s="50" t="n">
        <v>0</v>
      </c>
      <c r="K18" s="53"/>
      <c r="L18" s="53"/>
      <c r="M18" s="38" t="n">
        <v>3</v>
      </c>
    </row>
    <row r="19" customFormat="false" ht="15" hidden="false" customHeight="false" outlineLevel="0" collapsed="false">
      <c r="B19" s="47"/>
      <c r="C19" s="51"/>
      <c r="D19" s="48"/>
      <c r="E19" s="48"/>
      <c r="F19" s="52" t="n">
        <v>0</v>
      </c>
      <c r="G19" s="52" t="n">
        <v>0</v>
      </c>
      <c r="H19" s="38" t="n">
        <v>0</v>
      </c>
      <c r="I19" s="17" t="n">
        <v>0</v>
      </c>
      <c r="J19" s="50" t="n">
        <v>0</v>
      </c>
      <c r="K19" s="53"/>
      <c r="L19" s="53"/>
      <c r="M19" s="38" t="n">
        <v>3</v>
      </c>
    </row>
    <row r="20" customFormat="false" ht="15" hidden="false" customHeight="false" outlineLevel="0" collapsed="false">
      <c r="B20" s="47"/>
      <c r="C20" s="51"/>
      <c r="D20" s="48"/>
      <c r="E20" s="48"/>
      <c r="F20" s="52" t="n">
        <v>0</v>
      </c>
      <c r="G20" s="52" t="n">
        <v>0</v>
      </c>
      <c r="H20" s="38" t="n">
        <v>0</v>
      </c>
      <c r="I20" s="17" t="n">
        <v>0</v>
      </c>
      <c r="J20" s="50" t="n">
        <v>0</v>
      </c>
      <c r="K20" s="53"/>
      <c r="L20" s="53"/>
      <c r="M20" s="38" t="n">
        <v>3</v>
      </c>
    </row>
    <row r="21" customFormat="false" ht="15" hidden="false" customHeight="false" outlineLevel="0" collapsed="false">
      <c r="B21" s="47"/>
      <c r="C21" s="51"/>
      <c r="D21" s="48"/>
      <c r="E21" s="48"/>
      <c r="F21" s="52" t="n">
        <v>0</v>
      </c>
      <c r="G21" s="52" t="n">
        <v>0</v>
      </c>
      <c r="H21" s="38" t="n">
        <v>0</v>
      </c>
      <c r="I21" s="17" t="n">
        <v>0</v>
      </c>
      <c r="J21" s="50" t="n">
        <v>0</v>
      </c>
      <c r="K21" s="53"/>
      <c r="L21" s="53"/>
      <c r="M21" s="38" t="n">
        <v>3</v>
      </c>
    </row>
    <row r="23" customFormat="false" ht="19.5" hidden="false" customHeight="true" outlineLevel="0" collapsed="false">
      <c r="B23" s="21" t="s">
        <v>217</v>
      </c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</row>
    <row r="24" customFormat="false" ht="15" hidden="false" customHeight="false" outlineLevel="0" collapsed="false">
      <c r="B24" s="40" t="s">
        <v>218</v>
      </c>
      <c r="D24" s="41" t="n">
        <f aca="false">COUNTIF(D7:D21,"&lt;&gt;")</f>
        <v>0</v>
      </c>
    </row>
    <row r="25" customFormat="false" ht="15" hidden="false" customHeight="false" outlineLevel="0" collapsed="false">
      <c r="B25" s="40" t="s">
        <v>194</v>
      </c>
      <c r="D25" s="54" t="n">
        <f aca="false">IFERROR(COUNTIF(I7:I21,"&gt;0")/COUNTIF(I7:I21,"&lt;&gt;0"),0)</f>
        <v>0</v>
      </c>
    </row>
    <row r="26" customFormat="false" ht="15" hidden="false" customHeight="false" outlineLevel="0" collapsed="false">
      <c r="B26" s="40" t="s">
        <v>219</v>
      </c>
      <c r="D26" s="18" t="n">
        <f aca="false">IFERROR(AVERAGEIF(I7:I21,"&gt;0"),0)</f>
        <v>0</v>
      </c>
    </row>
    <row r="27" customFormat="false" ht="15" hidden="false" customHeight="false" outlineLevel="0" collapsed="false">
      <c r="B27" s="40" t="s">
        <v>220</v>
      </c>
      <c r="D27" s="18" t="n">
        <f aca="false">IFERROR(AVERAGEIF(I7:I21,"&lt;0"),0)</f>
        <v>0</v>
      </c>
    </row>
    <row r="28" customFormat="false" ht="15" hidden="false" customHeight="false" outlineLevel="0" collapsed="false">
      <c r="B28" s="40" t="s">
        <v>221</v>
      </c>
      <c r="D28" s="55" t="n">
        <f aca="false">IFERROR(AVERAGE(J7:J21),0)</f>
        <v>0</v>
      </c>
    </row>
    <row r="29" customFormat="false" ht="15" hidden="false" customHeight="false" outlineLevel="0" collapsed="false">
      <c r="B29" s="40" t="s">
        <v>222</v>
      </c>
      <c r="D29" s="18" t="n">
        <f aca="false">SUM(I7:I21)</f>
        <v>0</v>
      </c>
    </row>
    <row r="30" customFormat="false" ht="15" hidden="false" customHeight="false" outlineLevel="0" collapsed="false">
      <c r="B30" s="40" t="s">
        <v>223</v>
      </c>
      <c r="D30" s="56" t="n">
        <f aca="false">IFERROR(AVERAGE(M7:M21),0)</f>
        <v>3</v>
      </c>
    </row>
    <row r="32" customFormat="false" ht="19.5" hidden="false" customHeight="true" outlineLevel="0" collapsed="false">
      <c r="B32" s="8" t="s">
        <v>224</v>
      </c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</row>
    <row r="33" customFormat="false" ht="24" hidden="false" customHeight="true" outlineLevel="0" collapsed="false">
      <c r="B33" s="57" t="s">
        <v>225</v>
      </c>
      <c r="C33" s="57"/>
      <c r="D33" s="57"/>
      <c r="E33" s="58"/>
      <c r="F33" s="58"/>
      <c r="G33" s="58"/>
      <c r="H33" s="58"/>
      <c r="I33" s="58"/>
      <c r="J33" s="58"/>
      <c r="K33" s="58"/>
      <c r="L33" s="58"/>
      <c r="M33" s="58"/>
    </row>
    <row r="34" customFormat="false" ht="24" hidden="false" customHeight="true" outlineLevel="0" collapsed="false">
      <c r="B34" s="57" t="s">
        <v>226</v>
      </c>
      <c r="C34" s="57"/>
      <c r="D34" s="57"/>
      <c r="E34" s="58"/>
      <c r="F34" s="58"/>
      <c r="G34" s="58"/>
      <c r="H34" s="58"/>
      <c r="I34" s="58"/>
      <c r="J34" s="58"/>
      <c r="K34" s="58"/>
      <c r="L34" s="58"/>
      <c r="M34" s="58"/>
    </row>
    <row r="35" customFormat="false" ht="24" hidden="false" customHeight="true" outlineLevel="0" collapsed="false">
      <c r="B35" s="57" t="s">
        <v>227</v>
      </c>
      <c r="C35" s="57"/>
      <c r="D35" s="57"/>
      <c r="E35" s="58"/>
      <c r="F35" s="58"/>
      <c r="G35" s="58"/>
      <c r="H35" s="58"/>
      <c r="I35" s="58"/>
      <c r="J35" s="58"/>
      <c r="K35" s="58"/>
      <c r="L35" s="58"/>
      <c r="M35" s="58"/>
    </row>
    <row r="36" customFormat="false" ht="24" hidden="false" customHeight="true" outlineLevel="0" collapsed="false">
      <c r="B36" s="57" t="s">
        <v>228</v>
      </c>
      <c r="C36" s="57"/>
      <c r="D36" s="57"/>
      <c r="E36" s="58"/>
      <c r="F36" s="58"/>
      <c r="G36" s="58"/>
      <c r="H36" s="58"/>
      <c r="I36" s="58"/>
      <c r="J36" s="58"/>
      <c r="K36" s="58"/>
      <c r="L36" s="58"/>
      <c r="M36" s="58"/>
    </row>
    <row r="37" customFormat="false" ht="24" hidden="false" customHeight="true" outlineLevel="0" collapsed="false">
      <c r="B37" s="57" t="s">
        <v>229</v>
      </c>
      <c r="C37" s="57"/>
      <c r="D37" s="57"/>
      <c r="E37" s="58"/>
      <c r="F37" s="58"/>
      <c r="G37" s="58"/>
      <c r="H37" s="58"/>
      <c r="I37" s="58"/>
      <c r="J37" s="58"/>
      <c r="K37" s="58"/>
      <c r="L37" s="58"/>
      <c r="M37" s="58"/>
    </row>
  </sheetData>
  <mergeCells count="15">
    <mergeCell ref="B2:M2"/>
    <mergeCell ref="B3:M3"/>
    <mergeCell ref="B5:M5"/>
    <mergeCell ref="B23:M23"/>
    <mergeCell ref="B32:M32"/>
    <mergeCell ref="B33:D33"/>
    <mergeCell ref="E33:M33"/>
    <mergeCell ref="B34:D34"/>
    <mergeCell ref="E34:M34"/>
    <mergeCell ref="B35:D35"/>
    <mergeCell ref="E35:M35"/>
    <mergeCell ref="B36:D36"/>
    <mergeCell ref="E36:M36"/>
    <mergeCell ref="B37:D37"/>
    <mergeCell ref="E37:M37"/>
  </mergeCells>
  <conditionalFormatting sqref="I7:I21">
    <cfRule type="cellIs" priority="2" operator="lessThan" aboveAverage="0" equalAverage="0" bottom="0" percent="0" rank="0" text="" dxfId="0">
      <formula>0</formula>
    </cfRule>
    <cfRule type="cellIs" priority="3" operator="greaterThanOrEqual" aboveAverage="0" equalAverage="0" bottom="0" percent="0" rank="0" text="" dxfId="1">
      <formula>0</formula>
    </cfRule>
  </conditionalFormatting>
  <dataValidations count="2">
    <dataValidation allowBlank="true" errorStyle="stop" operator="between" showDropDown="false" showErrorMessage="false" showInputMessage="false" sqref="E7:E21" type="list">
      <formula1>"Long,Short"</formula1>
      <formula2>0</formula2>
    </dataValidation>
    <dataValidation allowBlank="true" errorStyle="stop" operator="between" showDropDown="false" showErrorMessage="false" showInputMessage="false" sqref="M7:M21" type="whole">
      <formula1>1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2026-06-21T18:29:54Z</dcterms:created>
  <dc:creator>openpyxl</dc:creator>
  <dc:description/>
  <dc:language>en-US</dc:language>
  <cp:lastModifiedBy/>
  <dcterms:modified xsi:type="dcterms:W3CDTF">2026-06-21T18:30:01Z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
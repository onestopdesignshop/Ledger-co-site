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6.xml.rels" ContentType="application/vnd.openxmlformats-package.relationships+xml"/>
  <Override PartName="/xl/worksheets/_rels/sheet15.xml.rels" ContentType="application/vnd.openxmlformats-package.relationships+xml"/>
  <Override PartName="/xl/worksheets/_rels/sheet9.xml.rels" ContentType="application/vnd.openxmlformats-package.relationship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01 Budgeting System" sheetId="2" state="visible" r:id="rId4"/>
    <sheet name="02 Debt Payoff Optimizer" sheetId="3" state="visible" r:id="rId5"/>
    <sheet name="03 Retirement Projector" sheetId="4" state="visible" r:id="rId6"/>
    <sheet name="04 Tax-Loss Harvesting" sheetId="5" state="visible" r:id="rId7"/>
    <sheet name="05 Backtesting Framework" sheetId="6" state="visible" r:id="rId8"/>
    <sheet name="06 Strategy Journal" sheetId="7" state="visible" r:id="rId9"/>
    <sheet name="07 Net Worth Dashboard" sheetId="8" state="visible" r:id="rId10"/>
    <sheet name="08 FIRE Timeline Modeler" sheetId="9" state="visible" r:id="rId11"/>
    <sheet name="09 Cash Flow Forecast" sheetId="10" state="visible" r:id="rId12"/>
    <sheet name="10 Runway Calculator" sheetId="11" state="visible" r:id="rId13"/>
    <sheet name="11 3-Statement Model" sheetId="12" state="visible" r:id="rId14"/>
    <sheet name="12 Risk Management" sheetId="13" state="visible" r:id="rId15"/>
    <sheet name="13 Multi-Entity Tracker" sheetId="14" state="visible" r:id="rId16"/>
    <sheet name="14 Scenario Engine" sheetId="15" state="visible" r:id="rId17"/>
    <sheet name="15 Valuation Framework" sheetId="16" state="visible" r:id="rId18"/>
    <sheet name="16 Trading Methodology"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<sst xmlns="http://schemas.openxmlformats.org/spreadsheetml/2006/main" count="711" uniqueCount="606">
  <si>
    <t xml:space="preserve">LEDGER &amp; CO.</t>
  </si>
  <si>
    <t xml:space="preserve">CAPITAL SYSTEMS SUITE</t>
  </si>
  <si>
    <t xml:space="preserve">INSTITUTIONAL TIER</t>
  </si>
  <si>
    <t xml:space="preserve">Complete Capital Infrastructure — Personal, Business &amp; Trading Systems</t>
  </si>
  <si>
    <t xml:space="preserve">WHAT'S INSIDE</t>
  </si>
  <si>
    <t xml:space="preserve">01  Budgeting System</t>
  </si>
  <si>
    <t xml:space="preserve">Zero-based monthly budget with rolling 12-month tracking</t>
  </si>
  <si>
    <t xml:space="preserve">02  Debt Payoff Optimizer</t>
  </si>
  <si>
    <t xml:space="preserve">Avalanche vs. snowball comparison with payoff timeline</t>
  </si>
  <si>
    <t xml:space="preserve">03  Retirement Projector</t>
  </si>
  <si>
    <t xml:space="preserve">Compound growth modeling to target retirement age</t>
  </si>
  <si>
    <t xml:space="preserve">04  Tax-Loss Harvesting Calculator</t>
  </si>
  <si>
    <t xml:space="preserve">Realized/unrealized gain-loss matching and carryforward</t>
  </si>
  <si>
    <t xml:space="preserve">05  Backtesting Framework Template</t>
  </si>
  <si>
    <t xml:space="preserve">Structured trade hypothesis testing log</t>
  </si>
  <si>
    <t xml:space="preserve">06  Strategy Journal System</t>
  </si>
  <si>
    <t xml:space="preserve">Systematic trade and decision journal with review cadence</t>
  </si>
  <si>
    <t xml:space="preserve">07  Net Worth Dashboard</t>
  </si>
  <si>
    <t xml:space="preserve">Consolidated assets, liabilities, and trend tracking</t>
  </si>
  <si>
    <t xml:space="preserve">08  FI/RE Timeline Modeler</t>
  </si>
  <si>
    <t xml:space="preserve">Financial independence date calculator with safe-withdrawal modeling</t>
  </si>
  <si>
    <t xml:space="preserve">09  Cash Flow Forecasting Model</t>
  </si>
  <si>
    <t xml:space="preserve">13-week rolling cash flow projection for business operators</t>
  </si>
  <si>
    <t xml:space="preserve">10  Runway Calculator</t>
  </si>
  <si>
    <t xml:space="preserve">Burn rate and runway tracking for self-employed/business owners</t>
  </si>
  <si>
    <t xml:space="preserve">11  3-Statement Model Starter</t>
  </si>
  <si>
    <t xml:space="preserve">Linked income statement, balance sheet, and cash flow template</t>
  </si>
  <si>
    <t xml:space="preserve">12  Risk Management Framework</t>
  </si>
  <si>
    <t xml:space="preserve">Position sizing, ATR-based stops, and portfolio risk controls</t>
  </si>
  <si>
    <t xml:space="preserve">13  Multi-Entity Wealth Tracker</t>
  </si>
  <si>
    <t xml:space="preserve">Consolidated net worth across trusts, entities, and multiple accounts</t>
  </si>
  <si>
    <t xml:space="preserve">14  3-Statement Model — Scenario Engine</t>
  </si>
  <si>
    <t xml:space="preserve">Full model with bear/base/bull case toggle and sensitivity analysis</t>
  </si>
  <si>
    <t xml:space="preserve">15  Valuation Framework</t>
  </si>
  <si>
    <t xml:space="preserve">DCF and comparable-multiple valuation templates</t>
  </si>
  <si>
    <t xml:space="preserve">16  Systematic Trading Methodology</t>
  </si>
  <si>
    <t xml:space="preserve">Complete signal logic, risk engine, and deployment architecture documentation</t>
  </si>
  <si>
    <t xml:space="preserve">HOW TO USE THIS WORKBOOK</t>
  </si>
  <si>
    <t xml:space="preserve">•  Gold-shaded cells are inputs — edit these with your own numbers.</t>
  </si>
  <si>
    <t xml:space="preserve">•  White cells contain formulas — these update automatically. Do not overwrite.</t>
  </si>
  <si>
    <t xml:space="preserve">•  Each module is a separate tab. Navigate using the tabs at the bottom of the workbook.</t>
  </si>
  <si>
    <t xml:space="preserve">•  Start with Module 01 (Budgeting) to establish your baseline cash flow before moving to other modules.</t>
  </si>
  <si>
    <t xml:space="preserve">•  This toolkit provides a structured framework for organizing your finances. It is not personalized financial, tax, or legal advice.</t>
  </si>
  <si>
    <t xml:space="preserve">© Ledger &amp; Co. — Institutional License: includes resale and white-label rights. See license terms in playbook.</t>
  </si>
  <si>
    <t xml:space="preserve">MODULE 01 — BUDGETING SYSTEM</t>
  </si>
  <si>
    <t xml:space="preserve">INCOME</t>
  </si>
  <si>
    <t xml:space="preserve">Category</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</si>
  <si>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</si>
  <si>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</si>
  <si>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</si>
  <si>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</si>
  <si>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</si>
  <si>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</si>
  <si>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</si>
  <si>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</si>
  <si>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</si>
  <si>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</si>
  <si>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</si>
  <si>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</si>
  <si>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Annual Total</t>
  </si>
  <si>
    <t xml:space="preserve">Primary Salary (net)</t>
  </si>
  <si>
    <t xml:space="preserve">Secondary Income</t>
  </si>
  <si>
    <t xml:space="preserve">Business/Side Income</t>
  </si>
  <si>
    <t xml:space="preserve">Investment Income</t>
  </si>
  <si>
    <t xml:space="preserve">Other Income</t>
  </si>
  <si>
    <t xml:space="preserve">TOTAL INCOME</t>
  </si>
  <si>
    <t xml:space="preserve">FIXED &amp; VARIABLE EXPENSES</t>
  </si>
  <si>
    <t xml:space="preserve">Housing</t>
  </si>
  <si>
    <t xml:space="preserve">Rent/Mortgage</t>
  </si>
  <si>
    <t xml:space="preserve">Property Tax/Insurance</t>
  </si>
  <si>
    <t xml:space="preserve">Utilities</t>
  </si>
  <si>
    <t xml:space="preserve">Maintenance/HOA</t>
  </si>
  <si>
    <t xml:space="preserve">Housing Subtotal</t>
  </si>
  <si>
    <t xml:space="preserve">Transportation</t>
  </si>
  <si>
    <t xml:space="preserve">Car Payment</t>
  </si>
  <si>
    <t xml:space="preserve">Insurance</t>
  </si>
  <si>
    <t xml:space="preserve">Fuel/Transit</t>
  </si>
  <si>
    <t xml:space="preserve">Maintenance</t>
  </si>
  <si>
    <t xml:space="preserve">Transportation Subtotal</t>
  </si>
  <si>
    <t xml:space="preserve">Living Essentials</t>
  </si>
  <si>
    <t xml:space="preserve">Groceries</t>
  </si>
  <si>
    <t xml:space="preserve">Healthcare/Insurance</t>
  </si>
  <si>
    <t xml:space="preserve">Phone/Internet</t>
  </si>
  <si>
    <t xml:space="preserve">Childcare</t>
  </si>
  <si>
    <t xml:space="preserve">Living Essentials Subtotal</t>
  </si>
  <si>
    <t xml:space="preserve">Debt Service</t>
  </si>
  <si>
    <t xml:space="preserve">Credit Cards</t>
  </si>
  <si>
    <t xml:space="preserve">Student Loans</t>
  </si>
  <si>
    <t xml:space="preserve">Personal Loans</t>
  </si>
  <si>
    <t xml:space="preserve">Debt Service Subtotal</t>
  </si>
  <si>
    <t xml:space="preserve">Discretionary</t>
  </si>
  <si>
    <t xml:space="preserve">Dining Out</t>
  </si>
  <si>
    <t xml:space="preserve">Entertainment</t>
  </si>
  <si>
    <t xml:space="preserve">Subscriptions</t>
  </si>
  <si>
    <t xml:space="preserve">Shopping</t>
  </si>
  <si>
    <t xml:space="preserve">Travel</t>
  </si>
  <si>
    <t xml:space="preserve">Discretionary Subtotal</t>
  </si>
  <si>
    <t xml:space="preserve">Savings &amp; Investing</t>
  </si>
  <si>
    <t xml:space="preserve">Emergency Fund</t>
  </si>
  <si>
    <t xml:space="preserve">Retirement (401k/IRA)</t>
  </si>
  <si>
    <t xml:space="preserve">Brokerage</t>
  </si>
  <si>
    <t xml:space="preserve">Other Savings Goals</t>
  </si>
  <si>
    <t xml:space="preserve">Savings &amp; Investing Subtotal</t>
  </si>
  <si>
    <t xml:space="preserve">TOTAL EXPENSES</t>
  </si>
  <si>
    <t xml:space="preserve">NET CASH FLOW</t>
  </si>
  <si>
    <t xml:space="preserve">Net Surplus / (Deficit)</t>
  </si>
  <si>
    <t xml:space="preserve">Savings Rate (%)</t>
  </si>
  <si>
    <t xml:space="preserve">MODULE 02 — DEBT PAYOFF OPTIMIZER</t>
  </si>
  <si>
    <t xml:space="preserve">Avalanche vs. Snowball comparison with payoff timeline</t>
  </si>
  <si>
    <t xml:space="preserve">DEBT INVENTORY</t>
  </si>
  <si>
    <t xml:space="preserve">Debt Name</t>
  </si>
  <si>
    <t xml:space="preserve">Balance</t>
  </si>
  <si>
    <t xml:space="preserve">APR (%)</t>
  </si>
  <si>
    <t xml:space="preserve">Min. Payment</t>
  </si>
  <si>
    <t xml:space="preserve">Strategy Priority
(Avalanche)</t>
  </si>
  <si>
    <t xml:space="preserve">Strategy Priority
(Snowball)</t>
  </si>
  <si>
    <t xml:space="preserve">Months to Payoff
(Min. Only)</t>
  </si>
  <si>
    <t xml:space="preserve">Total Interest
(Min. Only)</t>
  </si>
  <si>
    <t xml:space="preserve">Credit Card — Visa</t>
  </si>
  <si>
    <t xml:space="preserve">Credit Card — Amex</t>
  </si>
  <si>
    <t xml:space="preserve">Auto Loan</t>
  </si>
  <si>
    <t xml:space="preserve">Student Loan — Federal</t>
  </si>
  <si>
    <t xml:space="preserve">Personal Loan</t>
  </si>
  <si>
    <t xml:space="preserve">TOTAL</t>
  </si>
  <si>
    <t xml:space="preserve">Extra Monthly Payment Available</t>
  </si>
  <si>
    <t xml:space="preserve">← Amount above minimums to apply via Avalanche or Snowball method</t>
  </si>
  <si>
    <t xml:space="preserve">STRATEGY COMPARISON SUMMARY</t>
  </si>
  <si>
    <t xml:space="preserve">Strategy</t>
  </si>
  <si>
    <t xml:space="preserve">Payoff Order Logic</t>
  </si>
  <si>
    <t xml:space="preserve">Est. Months to Debt-Free</t>
  </si>
  <si>
    <t xml:space="preserve">Est. Total Interest Paid</t>
  </si>
  <si>
    <t xml:space="preserve">Interest Saved vs. Minimums</t>
  </si>
  <si>
    <t xml:space="preserve">Avalanche</t>
  </si>
  <si>
    <t xml:space="preserve">Highest APR first</t>
  </si>
  <si>
    <t xml:space="preserve">Snowball</t>
  </si>
  <si>
    <t xml:space="preserve">Smallest balance first</t>
  </si>
  <si>
    <t xml:space="preserve">Methodology note: Avalanche minimizes total interest by targeting the highest-APR debt first using all extra payment capacity; Snowball builds momentum by eliminating the smallest balance first. Estimates above use simplified amortization approximations for comparison purposes. For an exact month-by-month amortization schedule, extend the model using the per-debt APR and balance figures above with a standard amortization formula, recalculating extra-payment rollover each time a debt is paid in full.</t>
  </si>
  <si>
    <t xml:space="preserve">MODULE 03 — RETIREMENT PROJECTOR</t>
  </si>
  <si>
    <t xml:space="preserve">ASSUMPTIONS</t>
  </si>
  <si>
    <t xml:space="preserve">Current Age</t>
  </si>
  <si>
    <t xml:space="preserve">Target Retirement Age</t>
  </si>
  <si>
    <t xml:space="preserve">Current Retirement Savings</t>
  </si>
  <si>
    <t xml:space="preserve">Monthly Contribution</t>
  </si>
  <si>
    <t xml:space="preserve">Annual Contribution Growth Rate</t>
  </si>
  <si>
    <t xml:space="preserve">Expected Annual Return (pre-retirement)</t>
  </si>
  <si>
    <t xml:space="preserve">Expected Annual Return (post-retirement)</t>
  </si>
  <si>
    <t xml:space="preserve">Expected Annual Inflation Rate</t>
  </si>
  <si>
    <t xml:space="preserve">Desired Annual Retirement Income (today's $)</t>
  </si>
  <si>
    <t xml:space="preserve">Expected Years in Retirement</t>
  </si>
  <si>
    <t xml:space="preserve">KEY OUTPUTS</t>
  </si>
  <si>
    <t xml:space="preserve">Years Until Retirement</t>
  </si>
  <si>
    <t xml:space="preserve">Future Annual Income Need (inflation-adjusted)</t>
  </si>
  <si>
    <t xml:space="preserve">Required Nest Egg (4% Rule, inflation-adjusted)</t>
  </si>
  <si>
    <t xml:space="preserve">Required Nest Egg (Annuity Method, post-return)</t>
  </si>
  <si>
    <t xml:space="preserve">Projected Nest Egg at Retirement</t>
  </si>
  <si>
    <t xml:space="preserve">Surplus / (Shortfall) vs. Annuity Target</t>
  </si>
  <si>
    <t xml:space="preserve">YEAR-BY-YEAR PROJECTION</t>
  </si>
  <si>
    <t xml:space="preserve">Year</t>
  </si>
  <si>
    <t xml:space="preserve">Age</t>
  </si>
  <si>
    <t xml:space="preserve">Beginning Balance</t>
  </si>
  <si>
    <t xml:space="preserve">Annual Contribution</t>
  </si>
  <si>
    <t xml:space="preserve">Investment Growth</t>
  </si>
  <si>
    <t xml:space="preserve">Ending Balance</t>
  </si>
  <si>
    <t xml:space="preserve">Methodology: Pre-retirement years compound monthly contributions (grown annually by the contribution growth rate) at the pre-retirement return assumption using a mid-year convention. Post-retirement years assume the post-retirement return rate with no further contributions. The required nest egg is shown two ways — the simplified 4% Rule and a more precise annuity-depletion calculation over your expected retirement horizon. Schedule rows beyond your target retirement age continue compounding at the post-retirement rate for reference; extend or trim the 40-year schedule as needed for your time horizon.</t>
  </si>
  <si>
    <t xml:space="preserve">MODULE 04 — TAX-LOSS HARVESTING CALCULATOR</t>
  </si>
  <si>
    <t xml:space="preserve">Realized/unrealized gain-loss matching and carryforward tracking</t>
  </si>
  <si>
    <t xml:space="preserve">POSITION-LEVEL GAIN/LOSS LOG</t>
  </si>
  <si>
    <t xml:space="preserve">Security</t>
  </si>
  <si>
    <t xml:space="preserve">Shares</t>
  </si>
  <si>
    <t xml:space="preserve">Cost Basis
(Total)</t>
  </si>
  <si>
    <t xml:space="preserve">Current Value
(Total)</t>
  </si>
  <si>
    <t xml:space="preserve">Unrealized
Gain/(Loss)</t>
  </si>
  <si>
    <t xml:space="preserve">Holding Period</t>
  </si>
  <si>
    <t xml:space="preserve">Term</t>
  </si>
  <si>
    <t xml:space="preserve">Action</t>
  </si>
  <si>
    <t xml:space="preserve">Realized
Gain/(Loss)</t>
  </si>
  <si>
    <t xml:space="preserve">Tech Growth ETF</t>
  </si>
  <si>
    <t xml:space="preserve">REIT Index Fund</t>
  </si>
  <si>
    <t xml:space="preserve">International Equity Fund</t>
  </si>
  <si>
    <t xml:space="preserve">Bond Fund — Aggregate</t>
  </si>
  <si>
    <t xml:space="preserve">Small-Cap Value Fund</t>
  </si>
  <si>
    <t xml:space="preserve">ANNUAL NETTING &amp; CARRYFORWARD</t>
  </si>
  <si>
    <t xml:space="preserve">Total Harvested Losses (this year)</t>
  </si>
  <si>
    <t xml:space="preserve">Short-Term Capital Gains (realized elsewhere, input)</t>
  </si>
  <si>
    <t xml:space="preserve">Long-Term Capital Gains (realized elsewhere, input)</t>
  </si>
  <si>
    <t xml:space="preserve">Prior-Year Capital Loss Carryforward (input)</t>
  </si>
  <si>
    <t xml:space="preserve">Net Capital Gain/(Loss) Before Annual Deduction Limit</t>
  </si>
  <si>
    <t xml:space="preserve">Annual Ordinary-Income Offset Limit (IRS: $3,000 / $1,500 MFS)</t>
  </si>
  <si>
    <t xml:space="preserve">Usable Loss This Year (against ordinary income)</t>
  </si>
  <si>
    <t xml:space="preserve">Loss Carryforward to Next Year</t>
  </si>
  <si>
    <t xml:space="preserve">Methodology: Positions flagged "Harvest Candidate" have unrealized losses. Net all realized short- and long-term gains/losses plus any harvested losses and prior carryforward. U.S. tax law currently allows up to $3,000 ($1,500 if married filing separately) of net capital loss to offset ordinary income annually; remaining losses carry forward indefinitely. Be mindful of wash-sale rules — repurchasing a substantially identical security within 30 days before or after a harvest sale disallows the loss. This calculator is a planning aid, not tax advice; confirm treatment with a qualified tax professional before filing.</t>
  </si>
  <si>
    <t xml:space="preserve">MODULE 05 — BACKTESTING FRAMEWORK TEMPLATE</t>
  </si>
  <si>
    <t xml:space="preserve">STRATEGY HYPOTHESIS DEFINITION</t>
  </si>
  <si>
    <t xml:space="preserve">Strategy Name</t>
  </si>
  <si>
    <t xml:space="preserve">e.g. RSI Mean-Reversion, 5-min candles</t>
  </si>
  <si>
    <t xml:space="preserve">Hypothesis</t>
  </si>
  <si>
    <t xml:space="preserve">e.g. Price reverts to mean after RSI(14) &lt; 30 on 5-min timeframe in low-volatility regime</t>
  </si>
  <si>
    <t xml:space="preserve">Entry Rule</t>
  </si>
  <si>
    <t xml:space="preserve">e.g. Long when RSI(14) crosses above 30 AND price &gt; 20-period VWAP</t>
  </si>
  <si>
    <t xml:space="preserve">Exit Rule</t>
  </si>
  <si>
    <t xml:space="preserve">e.g. Exit at 1.5x ATR(14) profit target OR 1x ATR(14) stop-loss OR EOD</t>
  </si>
  <si>
    <t xml:space="preserve">Position Sizing Rule</t>
  </si>
  <si>
    <t xml:space="preserve">e.g. Risk 1% of account equity per trade, sized to stop distance</t>
  </si>
  <si>
    <t xml:space="preserve">Universe / Instruments Tested</t>
  </si>
  <si>
    <t xml:space="preserve">e.g. TQQQ, SPY, QQQ</t>
  </si>
  <si>
    <t xml:space="preserve">Test Period</t>
  </si>
  <si>
    <t xml:space="preserve">e.g. Jan 2023 – Dec 2025</t>
  </si>
  <si>
    <t xml:space="preserve">Timeframe</t>
  </si>
  <si>
    <t xml:space="preserve">e.g. 5-minute candles</t>
  </si>
  <si>
    <t xml:space="preserve">BACKTEST RESULTS LOG</t>
  </si>
  <si>
    <t xml:space="preserve">Run #</t>
  </si>
  <si>
    <t xml:space="preserve">Date Tested</t>
  </si>
  <si>
    <t xml:space="preserve">Param. Set</t>
  </si>
  <si>
    <t xml:space="preserve"># Trades</t>
  </si>
  <si>
    <t xml:space="preserve">Win Rate</t>
  </si>
  <si>
    <t xml:space="preserve">Avg Win</t>
  </si>
  <si>
    <t xml:space="preserve">Avg Loss</t>
  </si>
  <si>
    <t xml:space="preserve">Profit Factor</t>
  </si>
  <si>
    <t xml:space="preserve">Max Drawdown</t>
  </si>
  <si>
    <t xml:space="preserve">Sharpe Ratio</t>
  </si>
  <si>
    <t xml:space="preserve">Net Return</t>
  </si>
  <si>
    <t xml:space="preserve">Verdict</t>
  </si>
  <si>
    <t xml:space="preserve">Methodology: Define one hypothesis, test multiple parameter sets against it, and log results systematically rather than relying on memory or screenshots. Profit Factor = (Win Rate × Avg Win) / (Loss Rate × |Avg Loss|); a Profit Factor below 1.0 means the strategy loses money over the test period regardless of win rate. Promotion criteria above (Profit Factor ≥ 1.5, Sharpe ≥ 1, Max Drawdown ≤ 20%) are a conservative starting framework — adjust thresholds to match your risk tolerance and capital base. Always validate on out-of-sample data and paper-trade before committing real capital; historical backtest performance does not guarantee future results.</t>
  </si>
  <si>
    <t xml:space="preserve">MODULE 06 — STRATEGY JOURNAL SYSTEM</t>
  </si>
  <si>
    <t xml:space="preserve">TRADE / DECISION LOG</t>
  </si>
  <si>
    <t xml:space="preserve">Date</t>
  </si>
  <si>
    <t xml:space="preserve">Time</t>
  </si>
  <si>
    <t xml:space="preserve">Instrument</t>
  </si>
  <si>
    <t xml:space="preserve">Side</t>
  </si>
  <si>
    <t xml:space="preserve">Entry</t>
  </si>
  <si>
    <t xml:space="preserve">Exit</t>
  </si>
  <si>
    <t xml:space="preserve">Size</t>
  </si>
  <si>
    <t xml:space="preserve">Result
($)</t>
  </si>
  <si>
    <t xml:space="preserve">Result
(R-multiple)</t>
  </si>
  <si>
    <t xml:space="preserve">Setup / Reason</t>
  </si>
  <si>
    <t xml:space="preserve">Lesson / Note</t>
  </si>
  <si>
    <t xml:space="preserve">Emotional
State (1-5)</t>
  </si>
  <si>
    <t xml:space="preserve">PERFORMANCE STATISTICS (AUTO-CALCULATED)</t>
  </si>
  <si>
    <t xml:space="preserve">Total Trades Logged</t>
  </si>
  <si>
    <t xml:space="preserve">Average Win ($)</t>
  </si>
  <si>
    <t xml:space="preserve">Average Loss ($)</t>
  </si>
  <si>
    <t xml:space="preserve">Average R-Multiple</t>
  </si>
  <si>
    <t xml:space="preserve">Total Net Result ($)</t>
  </si>
  <si>
    <t xml:space="preserve">Average Emotional State</t>
  </si>
  <si>
    <t xml:space="preserve">WEEKLY / MONTHLY REVIEW CADENCE</t>
  </si>
  <si>
    <t xml:space="preserve">1. What pattern shows up most across my winning trades this period?</t>
  </si>
  <si>
    <t xml:space="preserve">2. What pattern shows up most across my losing trades this period?</t>
  </si>
  <si>
    <t xml:space="preserve">3. Did I follow my entry/exit/sizing rules exactly, or did I deviate? Where, and why?</t>
  </si>
  <si>
    <t xml:space="preserve">4. What is the single highest-leverage adjustment I can make next period?</t>
  </si>
  <si>
    <t xml:space="preserve">5. Is my emotional state trending in a direction that correlates with performance?</t>
  </si>
  <si>
    <t xml:space="preserve">MODULE 07 — NET WORTH DASHBOARD</t>
  </si>
  <si>
    <t xml:space="preserve">ASSETS</t>
  </si>
  <si>
    <t xml:space="preserve">Asset</t>
  </si>
  <si>
    <t xml:space="preserve">Q1 (Current Year)</t>
  </si>
  <si>
    <t xml:space="preserve">Q2 (Current Year)</t>
  </si>
  <si>
    <t xml:space="preserve">Q3 (Current Year)</t>
  </si>
  <si>
    <t xml:space="preserve">Q4 (Current Year)</t>
  </si>
  <si>
    <t xml:space="preserve">YoY Change</t>
  </si>
  <si>
    <t xml:space="preserve">% of Total Assets</t>
  </si>
  <si>
    <t xml:space="preserve">Cash &amp; Checking</t>
  </si>
  <si>
    <t xml:space="preserve">Emergency Fund (HYSA)</t>
  </si>
  <si>
    <t xml:space="preserve">Brokerage — Taxable</t>
  </si>
  <si>
    <t xml:space="preserve">Retirement — 401(k)/IRA</t>
  </si>
  <si>
    <t xml:space="preserve">Robinhood — Trading Accounts</t>
  </si>
  <si>
    <t xml:space="preserve">Real Estate (est. equity)</t>
  </si>
  <si>
    <t xml:space="preserve">Vehicles (depreciated value)</t>
  </si>
  <si>
    <t xml:space="preserve">Other Assets</t>
  </si>
  <si>
    <t xml:space="preserve">TOTAL ASSETS</t>
  </si>
  <si>
    <t xml:space="preserve">LIABILITIES</t>
  </si>
  <si>
    <t xml:space="preserve">Liability</t>
  </si>
  <si>
    <t xml:space="preserve">% of Total Liabilities</t>
  </si>
  <si>
    <t xml:space="preserve">Mortgage Balance</t>
  </si>
  <si>
    <t xml:space="preserve">Credit Card Balances</t>
  </si>
  <si>
    <t xml:space="preserve">TOTAL LIABILITIES</t>
  </si>
  <si>
    <t xml:space="preserve">NET WORTH SUMMARY</t>
  </si>
  <si>
    <t xml:space="preserve">NET WORTH</t>
  </si>
  <si>
    <t xml:space="preserve">Debt-to-Asset Ratio</t>
  </si>
  <si>
    <t xml:space="preserve">Liquidity Ratio (Cash+Emergency / Total Liabilities)</t>
  </si>
  <si>
    <t xml:space="preserve">MODULE 08 — FI/RE TIMELINE MODELER</t>
  </si>
  <si>
    <t xml:space="preserve">Current Invested Assets</t>
  </si>
  <si>
    <t xml:space="preserve">Current Annual Spending</t>
  </si>
  <si>
    <t xml:space="preserve">Annual Savings (current)</t>
  </si>
  <si>
    <t xml:space="preserve">Expected Annual Investment Return</t>
  </si>
  <si>
    <t xml:space="preserve">Expected Annual Inflation</t>
  </si>
  <si>
    <t xml:space="preserve">Target Safe Withdrawal Rate</t>
  </si>
  <si>
    <t xml:space="preserve">Annual Savings Growth Rate (raises/income growth)</t>
  </si>
  <si>
    <t xml:space="preserve">FI NUMBER &amp; TIMELINE</t>
  </si>
  <si>
    <t xml:space="preserve">FI Number (Annual Spending ÷ SWR)</t>
  </si>
  <si>
    <t xml:space="preserve">Current Gap to FI Number</t>
  </si>
  <si>
    <t xml:space="preserve">YEAR-BY-YEAR FI PROJECTION</t>
  </si>
  <si>
    <t xml:space="preserve">Annual Savings</t>
  </si>
  <si>
    <t xml:space="preserve">FI Number (infl. adj.)</t>
  </si>
  <si>
    <t xml:space="preserve">FI Achieved?</t>
  </si>
  <si>
    <t xml:space="preserve">Estimated Years to Financial Independence</t>
  </si>
  <si>
    <t xml:space="preserve">Methodology: The FI Number is the invested-asset balance whose annual withdrawal at your target Safe Withdrawal Rate (commonly 4%, based on Trinity Study / 'Trinity' research, though many practitioners now use 3.25%–3.5% for longer horizons) covers your annual spending in perpetuity. The projection compounds savings growth and investment returns annually with a mid-year contribution convention, and inflates the FI Number each year so the comparison stays apples-to-apples in real terms. Extend the 30-year schedule if your horizon is longer.</t>
  </si>
  <si>
    <t xml:space="preserve">MODULE 09 — CASH FLOW FORECASTING MODEL</t>
  </si>
  <si>
    <t xml:space="preserve">CASH INFLOWS</t>
  </si>
  <si>
    <t xml:space="preserve">Week Beginning →</t>
  </si>
  <si>
    <t xml:space="preserve">Wk 1</t>
  </si>
  <si>
    <t xml:space="preserve">Wk 2</t>
  </si>
  <si>
    <t xml:space="preserve">Wk 3</t>
  </si>
  <si>
    <t xml:space="preserve">Wk 4</t>
  </si>
  <si>
    <t xml:space="preserve">Wk 5</t>
  </si>
  <si>
    <t xml:space="preserve">Wk 6</t>
  </si>
  <si>
    <t xml:space="preserve">Wk 7</t>
  </si>
  <si>
    <t xml:space="preserve">Wk 8</t>
  </si>
  <si>
    <t xml:space="preserve">Wk 9</t>
  </si>
  <si>
    <t xml:space="preserve">Wk 10</t>
  </si>
  <si>
    <t xml:space="preserve">Wk 11</t>
  </si>
  <si>
    <t xml:space="preserve">Wk 12</t>
  </si>
  <si>
    <t xml:space="preserve">Wk 13</t>
  </si>
  <si>
    <t xml:space="preserve">13-Wk Total</t>
  </si>
  <si>
    <t xml:space="preserve">OSDS — Lemon Squeezy Sales</t>
  </si>
  <si>
    <t xml:space="preserve">Ledger &amp; Co. — Subscription Revenue</t>
  </si>
  <si>
    <t xml:space="preserve">Aldgate &amp; Co. — Sales</t>
  </si>
  <si>
    <t xml:space="preserve">Other/Misc. Income</t>
  </si>
  <si>
    <t xml:space="preserve">TOTAL CASH IN</t>
  </si>
  <si>
    <t xml:space="preserve">CASH OUTFLOWS</t>
  </si>
  <si>
    <t xml:space="preserve">Hosting/Infrastructure (Supabase, GitHub)</t>
  </si>
  <si>
    <t xml:space="preserve">Payment Processing Fees</t>
  </si>
  <si>
    <t xml:space="preserve">Software/Tooling Subscriptions</t>
  </si>
  <si>
    <t xml:space="preserve">Contractor/Freelance Costs</t>
  </si>
  <si>
    <t xml:space="preserve">Marketing/Ads</t>
  </si>
  <si>
    <t xml:space="preserve">Taxes (estimated quarterly)</t>
  </si>
  <si>
    <t xml:space="preserve">Owner Draw</t>
  </si>
  <si>
    <t xml:space="preserve">TOTAL CASH OUT</t>
  </si>
  <si>
    <t xml:space="preserve">NET CASH POSITION</t>
  </si>
  <si>
    <t xml:space="preserve">Beginning Cash Balance</t>
  </si>
  <si>
    <t xml:space="preserve">Net Cash Flow (In - Out)</t>
  </si>
  <si>
    <t xml:space="preserve">Ending Cash Balance</t>
  </si>
  <si>
    <t xml:space="preserve">MODULE 10 — RUNWAY CALCULATOR</t>
  </si>
  <si>
    <t xml:space="preserve">Burn rate and runway tracking for self-employed / business owners</t>
  </si>
  <si>
    <t xml:space="preserve">CURRENT POSITION</t>
  </si>
  <si>
    <t xml:space="preserve">Current Cash on Hand (all business accounts)</t>
  </si>
  <si>
    <t xml:space="preserve">Average Monthly Revenue (trailing 3-mo.)</t>
  </si>
  <si>
    <t xml:space="preserve">Average Monthly Operating Expenses</t>
  </si>
  <si>
    <t xml:space="preserve">Average Monthly Owner Draw</t>
  </si>
  <si>
    <t xml:space="preserve">Monthly Revenue Growth Rate (assumption)</t>
  </si>
  <si>
    <t xml:space="preserve">BURN RATE &amp; RUNWAY</t>
  </si>
  <si>
    <t xml:space="preserve">Net Monthly Burn (Opex + Draw - Revenue)</t>
  </si>
  <si>
    <t xml:space="preserve">Runway at Current Burn (months)</t>
  </si>
  <si>
    <t xml:space="preserve">Revenue Needed to Break Even</t>
  </si>
  <si>
    <t xml:space="preserve">12-MONTH RUNWAY PROJECTION</t>
  </si>
  <si>
    <t xml:space="preserve">Month</t>
  </si>
  <si>
    <t xml:space="preserve">Beginning Cash</t>
  </si>
  <si>
    <t xml:space="preserve">Revenue</t>
  </si>
  <si>
    <t xml:space="preserve">Opex + Draw</t>
  </si>
  <si>
    <t xml:space="preserve">Net Change</t>
  </si>
  <si>
    <t xml:space="preserve">Ending Cash</t>
  </si>
  <si>
    <t xml:space="preserve">Methodology: Static runway (above) assumes flat revenue at the trailing-3-month average. The 12-month schedule instead grows revenue monthly at your assumed growth rate, giving a more realistic picture if revenue is trending up or down. Watch the Ending Cash column — the month it turns negative is your effective deadline to either cut burn, raise revenue, or raise capital. Recalculate monthly with actuals to keep this forward-looking.</t>
  </si>
  <si>
    <t xml:space="preserve">MODULE 11 — 3-STATEMENT MODEL STARTER</t>
  </si>
  <si>
    <t xml:space="preserve">Linked income statement, balance sheet, and cash flow template (annual, 3-year projection)</t>
  </si>
  <si>
    <t xml:space="preserve">INCOME STATEMENT</t>
  </si>
  <si>
    <t xml:space="preserve">($ Units)</t>
  </si>
  <si>
    <t xml:space="preserve">Opening</t>
  </si>
  <si>
    <t xml:space="preserve">Year 1 (Actual)</t>
  </si>
  <si>
    <t xml:space="preserve">Year 2 (Proj.)</t>
  </si>
  <si>
    <t xml:space="preserve">Year 3 (Proj.)</t>
  </si>
  <si>
    <t xml:space="preserve">Revenue Growth Assumption</t>
  </si>
  <si>
    <t xml:space="preserve">COGS (% of Revenue)</t>
  </si>
  <si>
    <t xml:space="preserve">Gross Profit</t>
  </si>
  <si>
    <t xml:space="preserve">Hosting/Infrastructure</t>
  </si>
  <si>
    <t xml:space="preserve">Software &amp; Tooling</t>
  </si>
  <si>
    <t xml:space="preserve">Marketing</t>
  </si>
  <si>
    <t xml:space="preserve">Contractor/Freelance</t>
  </si>
  <si>
    <t xml:space="preserve">Owner Compensation</t>
  </si>
  <si>
    <t xml:space="preserve">Total Operating Expenses</t>
  </si>
  <si>
    <t xml:space="preserve">EBITDA</t>
  </si>
  <si>
    <t xml:space="preserve">Depreciation &amp; Amortization</t>
  </si>
  <si>
    <t xml:space="preserve">EBIT (Operating Income)</t>
  </si>
  <si>
    <t xml:space="preserve">Effective Tax Rate</t>
  </si>
  <si>
    <t xml:space="preserve">Tax Expense</t>
  </si>
  <si>
    <t xml:space="preserve">NET INCOME</t>
  </si>
  <si>
    <t xml:space="preserve">BALANCE SHEET</t>
  </si>
  <si>
    <t xml:space="preserve">Cash &amp; Equivalents</t>
  </si>
  <si>
    <t xml:space="preserve">Accounts Receivable</t>
  </si>
  <si>
    <t xml:space="preserve">Equipment &amp; Fixed Assets (net)</t>
  </si>
  <si>
    <t xml:space="preserve">Accounts Payable</t>
  </si>
  <si>
    <t xml:space="preserve">Business Debt / Loans</t>
  </si>
  <si>
    <t xml:space="preserve">EQUITY</t>
  </si>
  <si>
    <t xml:space="preserve">Beginning Owner's Equity</t>
  </si>
  <si>
    <t xml:space="preserve">Net Income, Current Year</t>
  </si>
  <si>
    <t xml:space="preserve">Owner Draws / Distributions</t>
  </si>
  <si>
    <t xml:space="preserve">TOTAL EQUITY</t>
  </si>
  <si>
    <t xml:space="preserve">TOTAL LIABILITIES + EQUITY</t>
  </si>
  <si>
    <t xml:space="preserve">Balance Check (Assets − Liab&amp;Equity)</t>
  </si>
  <si>
    <t xml:space="preserve">CASH FLOW STATEMENT</t>
  </si>
  <si>
    <t xml:space="preserve">Operating Activities</t>
  </si>
  <si>
    <t xml:space="preserve">Net Income</t>
  </si>
  <si>
    <t xml:space="preserve">+ Depreciation &amp; Amortization</t>
  </si>
  <si>
    <t xml:space="preserve">(Increase)/Decrease in A/R</t>
  </si>
  <si>
    <t xml:space="preserve">Increase/(Decrease) in A/P</t>
  </si>
  <si>
    <t xml:space="preserve">Net Cash from Operating Activities</t>
  </si>
  <si>
    <t xml:space="preserve">Investing Activities</t>
  </si>
  <si>
    <t xml:space="preserve">Capital Expenditures</t>
  </si>
  <si>
    <t xml:space="preserve">Net Cash from Investing Activities</t>
  </si>
  <si>
    <t xml:space="preserve">Financing Activities</t>
  </si>
  <si>
    <t xml:space="preserve">Debt Repayment</t>
  </si>
  <si>
    <t xml:space="preserve">Net Cash from Financing Activities</t>
  </si>
  <si>
    <t xml:space="preserve">NET CHANGE IN CASH</t>
  </si>
  <si>
    <t xml:space="preserve">ENDING CASH BALANCE</t>
  </si>
  <si>
    <t xml:space="preserve">Methodology: This is a fully-linked 3-statement model with an explicit Opening (Year 0) balance sheet column, which is the standard and most reliable way to guarantee the model balances — Opening Equity is solved as a plug (Opening Assets − Opening Liabilities) so the starting position is internally consistent by construction. From there, Net Income flows into both the Cash Flow Statement and the Balance Sheet (via the equity roll-forward), and the Cash Flow Statement's Ending Cash becomes next period's Balance Sheet cash and this period's Beginning Cash — closing the loop. The Balance Check row should read $0 (shown in green) in every column; investigate immediately if any column turns red. Extend with multi-year debt amortization schedules, working-capital day-count assumptions (DSO/DPO), or a revolver/cash-sweep mechanism as the business scales.</t>
  </si>
  <si>
    <t xml:space="preserve">MODULE 12 — RISK MANAGEMENT FRAMEWORK</t>
  </si>
  <si>
    <t xml:space="preserve">ACCOUNT RISK PARAMETERS</t>
  </si>
  <si>
    <t xml:space="preserve">Total Account Equity</t>
  </si>
  <si>
    <t xml:space="preserve">Max Risk Per Trade (% of equity)</t>
  </si>
  <si>
    <t xml:space="preserve">Max Portfolio Heat (sum of open-position risk, % of equity)</t>
  </si>
  <si>
    <t xml:space="preserve">Max Single-Position Size (% of equity)</t>
  </si>
  <si>
    <t xml:space="preserve">Max Correlated-Position Exposure (% of equity)</t>
  </si>
  <si>
    <t xml:space="preserve">Daily Loss Limit (% of equity — stop trading for the day)</t>
  </si>
  <si>
    <t xml:space="preserve">POSITION SIZING CALCULATOR (ATR-BASED)</t>
  </si>
  <si>
    <t xml:space="preserve">Ticker</t>
  </si>
  <si>
    <t xml:space="preserve">Entry Price</t>
  </si>
  <si>
    <t xml:space="preserve">ATR (14)</t>
  </si>
  <si>
    <t xml:space="preserve">Stop Distance
(× ATR)</t>
  </si>
  <si>
    <t xml:space="preserve">Stop Price</t>
  </si>
  <si>
    <t xml:space="preserve">$ Risk/Share</t>
  </si>
  <si>
    <t xml:space="preserve">Max Shares
(Risk-Based)</t>
  </si>
  <si>
    <t xml:space="preserve">Max Shares
(Position-Cap)</t>
  </si>
  <si>
    <t xml:space="preserve">Shares to Trade
(Lesser of Two)</t>
  </si>
  <si>
    <t xml:space="preserve">Position Risk ($)</t>
  </si>
  <si>
    <t xml:space="preserve">TQQQ</t>
  </si>
  <si>
    <t xml:space="preserve">SPY</t>
  </si>
  <si>
    <t xml:space="preserve">QQQ</t>
  </si>
  <si>
    <t xml:space="preserve">TOTAL OPEN-POSITION RISK ($)</t>
  </si>
  <si>
    <t xml:space="preserve">Current Portfolio Heat (% of equity)</t>
  </si>
  <si>
    <t xml:space="preserve">Status vs. Max Portfolio Heat Limit</t>
  </si>
  <si>
    <t xml:space="preserve">DRAWDOWN RECOVERY REFERENCE</t>
  </si>
  <si>
    <t xml:space="preserve">Drawdown (%)</t>
  </si>
  <si>
    <t xml:space="preserve">Gain Required to Recover (%)</t>
  </si>
  <si>
    <t xml:space="preserve">Methodology: Position size is the lesser of (a) the risk-based size — account equity × max risk-per-trade, divided by the dollar distance from entry to stop — and (b) the position-cap size — account equity × max single-position percentage, divided by entry price. This prevents both over-risking on a single stop-out and over-concentrating capital in one name regardless of stop distance. Portfolio Heat sums dollar risk (not dollar exposure) across all open positions; keeping it under your stated limit caps the damage from a correlated adverse move across multiple positions simultaneously. The Drawdown Recovery table is a discipline reminder: a 50% drawdown requires a 100% gain to recover, which is why position sizing and daily/portfolio loss limits matter more than any single trade's expected value. This framework documents methodology and risk controls — it does not constitute investment advice, and does not include live trading system code, API credentials, or proprietary signal logic.</t>
  </si>
  <si>
    <t xml:space="preserve">MODULE 13 — MULTI-ENTITY WEALTH TRACKER</t>
  </si>
  <si>
    <t xml:space="preserve">ENTITY REGISTRY</t>
  </si>
  <si>
    <t xml:space="preserve">Entity / Account Name</t>
  </si>
  <si>
    <t xml:space="preserve">Entity Type</t>
  </si>
  <si>
    <t xml:space="preserve">Owner(s)</t>
  </si>
  <si>
    <t xml:space="preserve">Tax Treatment</t>
  </si>
  <si>
    <t xml:space="preserve">Custodian/Institution</t>
  </si>
  <si>
    <t xml:space="preserve">Current Value</t>
  </si>
  <si>
    <t xml:space="preserve">% of Total Net Worth</t>
  </si>
  <si>
    <t xml:space="preserve">Liquidity
(Days to Cash)</t>
  </si>
  <si>
    <t xml:space="preserve">Personal — Checking/Savings</t>
  </si>
  <si>
    <t xml:space="preserve">Individual</t>
  </si>
  <si>
    <t xml:space="preserve">Self</t>
  </si>
  <si>
    <t xml:space="preserve">N/A</t>
  </si>
  <si>
    <t xml:space="preserve">Bank</t>
  </si>
  <si>
    <t xml:space="preserve">Personal — Brokerage</t>
  </si>
  <si>
    <t xml:space="preserve">Individual Taxable</t>
  </si>
  <si>
    <t xml:space="preserve">Capital Gains</t>
  </si>
  <si>
    <t xml:space="preserve">Robinhood</t>
  </si>
  <si>
    <t xml:space="preserve">Robinhood — Roth IRA</t>
  </si>
  <si>
    <t xml:space="preserve">Retirement</t>
  </si>
  <si>
    <t xml:space="preserve">Tax-Free Growth</t>
  </si>
  <si>
    <t xml:space="preserve">Robinhood — Agentic Trading Acct (#729316372)</t>
  </si>
  <si>
    <t xml:space="preserve">Individual Margin</t>
  </si>
  <si>
    <t xml:space="preserve">Revocable Living Trust</t>
  </si>
  <si>
    <t xml:space="preserve">Trust</t>
  </si>
  <si>
    <t xml:space="preserve">Self (Grantor)</t>
  </si>
  <si>
    <t xml:space="preserve">Pass-Through</t>
  </si>
  <si>
    <t xml:space="preserve">Brokerage Custodian</t>
  </si>
  <si>
    <t xml:space="preserve">LLC — OSDS / Aldgate &amp; Co. Holding Entity</t>
  </si>
  <si>
    <t xml:space="preserve">Single-Member LLC</t>
  </si>
  <si>
    <t xml:space="preserve">Pass-Through (Sch. C/E)</t>
  </si>
  <si>
    <t xml:space="preserve">Business Bank</t>
  </si>
  <si>
    <t xml:space="preserve">LLC — Ledger &amp; Co. Holding Entity</t>
  </si>
  <si>
    <t xml:space="preserve">Business Bank + Stripe/LS</t>
  </si>
  <si>
    <t xml:space="preserve">Real Estate Holding (primary residence equity)</t>
  </si>
  <si>
    <t xml:space="preserve">Real Property</t>
  </si>
  <si>
    <t xml:space="preserve">Sec. 121 Exclusion Eligible</t>
  </si>
  <si>
    <t xml:space="preserve">TOTAL NET WORTH (ALL ENTITIES)</t>
  </si>
  <si>
    <t xml:space="preserve">CONSOLIDATION BY TAX TREATMENT</t>
  </si>
  <si>
    <t xml:space="preserve">Total Value</t>
  </si>
  <si>
    <t xml:space="preserve">% of Net Worth</t>
  </si>
  <si>
    <t xml:space="preserve">LIQUIDITY PROFILE</t>
  </si>
  <si>
    <t xml:space="preserve">Liquidity Bucket</t>
  </si>
  <si>
    <t xml:space="preserve">Immediate (≤3 days)</t>
  </si>
  <si>
    <t xml:space="preserve">Short-Term (4–30 days)</t>
  </si>
  <si>
    <t xml:space="preserve">Illiquid (&gt;30 days)</t>
  </si>
  <si>
    <t xml:space="preserve">Methodology: This tracker consolidates net worth across legally distinct structures — individual accounts, retirement accounts, trusts, and business entities — which is essential once wealth spans more than a simple personal balance sheet. Liquidity ratings are estimates of days-to-cash under normal market conditions; real estate and trust assets typically require longer timelines to convert to cash, which matters for emergency planning and opportunity-cost decisions. This is a planning and organization tool, not legal or tax advice — consult an estate attorney and CPA regarding actual entity structuring, trust administration, and the tax treatment of any specific account or entity.</t>
  </si>
  <si>
    <t xml:space="preserve">MODULE 14 — 3-STATEMENT MODEL: SCENARIO ENGINE</t>
  </si>
  <si>
    <t xml:space="preserve">Bear / Base / Bull case toggle with sensitivity analysis, built on the Module 11 model structure</t>
  </si>
  <si>
    <t xml:space="preserve">SCENARIO SELECTOR</t>
  </si>
  <si>
    <t xml:space="preserve">Active Scenario</t>
  </si>
  <si>
    <t xml:space="preserve">Base</t>
  </si>
  <si>
    <t xml:space="preserve">← Select Bear, Base, or Bull. All outputs below recalculate automatically.</t>
  </si>
  <si>
    <t xml:space="preserve">SCENARIO ASSUMPTION LIBRARY</t>
  </si>
  <si>
    <t xml:space="preserve">Driver</t>
  </si>
  <si>
    <t xml:space="preserve">Bear</t>
  </si>
  <si>
    <t xml:space="preserve">Bull</t>
  </si>
  <si>
    <t xml:space="preserve">Active (Selected)</t>
  </si>
  <si>
    <t xml:space="preserve">Revenue Growth — Year 2 (%)</t>
  </si>
  <si>
    <t xml:space="preserve">Revenue Growth — Year 3 (%)</t>
  </si>
  <si>
    <t xml:space="preserve">COGS % — Year 1</t>
  </si>
  <si>
    <t xml:space="preserve">COGS % — Year 2</t>
  </si>
  <si>
    <t xml:space="preserve">COGS % — Year 3</t>
  </si>
  <si>
    <t xml:space="preserve">Marketing Spend — Year 2 ($)</t>
  </si>
  <si>
    <t xml:space="preserve">Marketing Spend — Year 3 ($)</t>
  </si>
  <si>
    <t xml:space="preserve">Effective Tax Rate (%)</t>
  </si>
  <si>
    <t xml:space="preserve">SCENARIO-DRIVEN INCOME STATEMENT (CONDENSED)</t>
  </si>
  <si>
    <t xml:space="preserve">COGS</t>
  </si>
  <si>
    <t xml:space="preserve">Other Opex (Hosting, Tooling, Contractors, Owner Comp.)</t>
  </si>
  <si>
    <t xml:space="preserve">Marketing Spend</t>
  </si>
  <si>
    <t xml:space="preserve">EBITDA Margin (%)</t>
  </si>
  <si>
    <t xml:space="preserve">Tax Expense (on EBITDA, simplified)</t>
  </si>
  <si>
    <t xml:space="preserve">NET INCOME (Simplified — pre-D&amp;A)</t>
  </si>
  <si>
    <t xml:space="preserve">SCENARIO COMPARISON — YEAR 3 NET INCOME</t>
  </si>
  <si>
    <t xml:space="preserve">Scenario</t>
  </si>
  <si>
    <t xml:space="preserve">Year 3 Revenue</t>
  </si>
  <si>
    <t xml:space="preserve">Year 3 EBITDA Margin</t>
  </si>
  <si>
    <t xml:space="preserve">Year 3 Net Income</t>
  </si>
  <si>
    <t xml:space="preserve">Methodology: The Scenario Selector (top of sheet) drives the condensed Income Statement below it — switch between Bear, Base, and Bull to see the active case flow through Revenue, COGS, EBITDA, and Net Income in real time. The Scenario Comparison table independently recalculates Year 3 outcomes for all three cases simultaneously, so you can see the full range without toggling. This condensed model uses simplified EBITDA-to-Net-Income logic (no separate D&amp;A/interest line) to keep the scenario mechanics transparent — for the fully-linked, balance-sheet-tied version with D&amp;A and financing detail, use Module 11 (3-Statement Model Starter) and apply these same Bear/Base/Bull assumption sets to its Year 2-3 growth, COGS, and opex inputs directly.</t>
  </si>
  <si>
    <t xml:space="preserve">MODULE 15 — VALUATION FRAMEWORK</t>
  </si>
  <si>
    <t xml:space="preserve">DISCOUNTED CASH FLOW (DCF) VALUATION</t>
  </si>
  <si>
    <t xml:space="preserve">Base-Year Free Cash Flow (FCF)</t>
  </si>
  <si>
    <t xml:space="preserve">FCF Growth Rate — Years 1–5</t>
  </si>
  <si>
    <t xml:space="preserve">Terminal Growth Rate (perpetuity, post-Year 5)</t>
  </si>
  <si>
    <t xml:space="preserve">Discount Rate (WACC / Required Return)</t>
  </si>
  <si>
    <t xml:space="preserve">5-YEAR FCF PROJECTION &amp; DISCOUNTING</t>
  </si>
  <si>
    <t xml:space="preserve">Projected FCF</t>
  </si>
  <si>
    <t xml:space="preserve">Discount Factor</t>
  </si>
  <si>
    <t xml:space="preserve">Present Value of FCF</t>
  </si>
  <si>
    <t xml:space="preserve">Sum of PV of FCF (Years 1–5)</t>
  </si>
  <si>
    <t xml:space="preserve">Terminal Value (Gordon Growth, end of Year 5)</t>
  </si>
  <si>
    <t xml:space="preserve">Present Value of Terminal Value</t>
  </si>
  <si>
    <t xml:space="preserve">ENTERPRISE VALUE (DCF)</t>
  </si>
  <si>
    <t xml:space="preserve">Less: Net Debt (Debt − Cash)</t>
  </si>
  <si>
    <t xml:space="preserve">EQUITY VALUE (DCF)</t>
  </si>
  <si>
    <t xml:space="preserve">COMPARABLE COMPANY MULTIPLES</t>
  </si>
  <si>
    <t xml:space="preserve">Comparable</t>
  </si>
  <si>
    <t xml:space="preserve">EV/Revenue</t>
  </si>
  <si>
    <t xml:space="preserve">EV/EBITDA</t>
  </si>
  <si>
    <t xml:space="preserve">Implied EV
(Revenue Mult.)</t>
  </si>
  <si>
    <t xml:space="preserve">Implied EV
(EBITDA Mult.)</t>
  </si>
  <si>
    <t xml:space="preserve">Subject Company Metrics</t>
  </si>
  <si>
    <t xml:space="preserve">This Business</t>
  </si>
  <si>
    <t xml:space="preserve">← Year 3 Base-case figures from Module 14</t>
  </si>
  <si>
    <t xml:space="preserve">Peer Comparables (Input)</t>
  </si>
  <si>
    <t xml:space="preserve">Peer A — DTC Software/Content Business</t>
  </si>
  <si>
    <t xml:space="preserve">Peer B — Subscription/Membership Platform</t>
  </si>
  <si>
    <t xml:space="preserve">Peer C — Digital Products Marketplace</t>
  </si>
  <si>
    <t xml:space="preserve">Peer D — Fintech Education Platform</t>
  </si>
  <si>
    <t xml:space="preserve">Median Multiple</t>
  </si>
  <si>
    <t xml:space="preserve">IMPLIED ENTERPRISE VALUE (Revenue Multiple)</t>
  </si>
  <si>
    <t xml:space="preserve">IMPLIED ENTERPRISE VALUE (EBITDA Multiple)</t>
  </si>
  <si>
    <t xml:space="preserve">VALUATION SUMMARY</t>
  </si>
  <si>
    <t xml:space="preserve">Method</t>
  </si>
  <si>
    <t xml:space="preserve">Implied Enterprise Value</t>
  </si>
  <si>
    <t xml:space="preserve">DCF (Discounted Cash Flow)</t>
  </si>
  <si>
    <t xml:space="preserve">Comparable — Revenue Multiple</t>
  </si>
  <si>
    <t xml:space="preserve">Comparable — EBITDA Multiple</t>
  </si>
  <si>
    <t xml:space="preserve">AVERAGE OF METHODS (Indicative Value Range Midpoint)</t>
  </si>
  <si>
    <t xml:space="preserve">Methodology: This framework triangulates value using two independent methods. The DCF discounts five years of projected free cash flow plus a Gordon Growth terminal value back to present value at your discount rate (WACC) — the right rate reflects the risk profile of the cash flows, not an arbitrary number; small, owner-dependent businesses typically warrant higher discount rates (14%+) than diversified, professionally-managed companies. The Comparable Multiples method anchors valuation to what similar businesses actually trade for, using your own median peer multiples — input real comparable transaction or public-market data rather than the placeholder figures shown. No single method is authoritative; professional valuations typically present a range (a 'football field') rather than a single point estimate, and for any transaction, financing, or tax purpose, engage a qualified valuation professional (e.g., for a formal business appraisal or 409A).</t>
  </si>
  <si>
    <t xml:space="preserve">MODULE 16 — SYSTEMATIC TRADING METHODOLOGY</t>
  </si>
  <si>
    <t xml:space="preserve">Signal logic, risk engine, and deployment architecture documentation</t>
  </si>
  <si>
    <t xml:space="preserve">SCOPE OF THIS DOCUMENT</t>
  </si>
  <si>
    <t xml:space="preserve">This module documents trading-system METHODOLOGY and ARCHITECTURE for educational purposes — the conceptual framework behind a systematic, rules-based approach to trading. It does NOT include live, deployable source code, API credentials, broker connection strings, or proprietary signal parameters tuned to any specific live account. It is a blueprint a careful, experienced builder could use as a starting reference — implementation, testing, and risk decisions remain the responsibility of the person building and operating any live system. This is not investment advice, and trading involves substantial risk of loss.</t>
  </si>
  <si>
    <t xml:space="preserve">1. SYSTEM ARCHITECTURE OVERVIEW</t>
  </si>
  <si>
    <t xml:space="preserve">Data Layer</t>
  </si>
  <si>
    <t xml:space="preserve">Pulls OHLCV price data on a fixed candle interval (e.g., 5-minute) from a brokerage or market-data API. Normalizes timestamps to a single timezone and handles missing/partial bars before any signal calculation runs.</t>
  </si>
  <si>
    <t xml:space="preserve">Indicator Layer</t>
  </si>
  <si>
    <t xml:space="preserve">Computes technical indicators (e.g., RSI, ATR, moving averages, VWAP) from the data layer's output. Indicators are stateless functions of recent price history — no indicator should depend on the system's own prior trading decisions.</t>
  </si>
  <si>
    <t xml:space="preserve">Regime Detection Layer</t>
  </si>
  <si>
    <t xml:space="preserve">Classifies current market conditions (e.g., trending vs. mean-reverting, high vs. low volatility) using a separate, slower-moving indicator set. Strategy logic downstream can adjust position sizing or disable entries based on regime, rather than applying one fixed rule set to every market condition.</t>
  </si>
  <si>
    <t xml:space="preserve">Signal Layer</t>
  </si>
  <si>
    <t xml:space="preserve">Applies entry/exit rules (the trading hypothesis) to indicator output, producing discrete buy/sell/hold signals. Signal logic should be fully deterministic and unit-testable independent of execution — given the same indicator inputs, it must always produce the same signal.</t>
  </si>
  <si>
    <t xml:space="preserve">Risk Layer</t>
  </si>
  <si>
    <t xml:space="preserve">Independently validates every signal against account-level risk rules (position size limits, max portfolio heat, daily loss limits — see Module 12) BEFORE any order reaches the execution layer. This layer can veto a signal; it should never be bypassed, even temporarily, regardless of how confident the signal layer is.</t>
  </si>
  <si>
    <t xml:space="preserve">Execution Layer</t>
  </si>
  <si>
    <t xml:space="preserve">Translates an approved signal into an actual broker order (market, limit, or stop order) and handles order-state tracking (submitted, filled, partially filled, rejected, canceled) with retry/backoff logic for transient API failures.</t>
  </si>
  <si>
    <t xml:space="preserve">Monitoring &amp; Notification Layer</t>
  </si>
  <si>
    <t xml:space="preserve">Logs every signal, risk check, and order outcome to a persistent store, and sends real-time alerts (e.g., via Telegram or email) for fills, errors, and risk-limit breaches — so a human is always aware of what the system is doing.</t>
  </si>
  <si>
    <t xml:space="preserve">2. SIGNAL LOGIC FRAMEWORK</t>
  </si>
  <si>
    <t xml:space="preserve">Hypothesis-First Design</t>
  </si>
  <si>
    <t xml:space="preserve">Every signal traces back to a written, falsifiable hypothesis (see Module 05) before any code is written. A hypothesis names the market behavior being exploited, the conditions under which it should hold, and the conditions under which it should be expected to fail — vague hypotheses produce overfit, untestable systems.</t>
  </si>
  <si>
    <t xml:space="preserve">Entry Conditions</t>
  </si>
  <si>
    <t xml:space="preserve">Composed of (a) a directional trigger from the Signal Layer, (b) a regime filter confirming current conditions match the hypothesis's assumptions, and (c) a liquidity/spread check ensuring the instrument is tradable at acceptable cost. All three must agree — a directional signal alone is insufficient to enter a trade.</t>
  </si>
  <si>
    <t xml:space="preserve">Exit Conditions</t>
  </si>
  <si>
    <t xml:space="preserve">Defined BEFORE entry, never improvised after. Standard exit types: profit target (often ATR-multiple based), stop-loss (always present, no exceptions), time-based exit (for strategies with a defined holding-period thesis), and regime-invalidation exit (close the position if the regime filter that justified entry no longer holds).</t>
  </si>
  <si>
    <t xml:space="preserve">Parameter Stability Testing</t>
  </si>
  <si>
    <t xml:space="preserve">Before promoting any parameter set from backtest to paper trading, test sensitivity by varying each parameter ±20% individually. A strategy whose performance collapses with small parameter changes is likely overfit to historical noise rather than capturing a real, persistent edge.</t>
  </si>
  <si>
    <t xml:space="preserve">Walk-Forward Validation</t>
  </si>
  <si>
    <t xml:space="preserve">Split historical data into sequential in-sample (optimization) and out-of-sample (validation) windows, rolling forward through time. A strategy should perform reasonably — not necessarily as well, but not catastrophically worse — on out-of-sample windows it was never optimized against.</t>
  </si>
  <si>
    <t xml:space="preserve">3. RISK ENGINE RULES</t>
  </si>
  <si>
    <t xml:space="preserve">Independence from Signal Logic</t>
  </si>
  <si>
    <t xml:space="preserve">The risk engine is a separate module that the signal layer cannot override or bypass. It receives a proposed trade (instrument, direction, size) and returns approve/reject/resize — it has no knowledge of why the signal fired, only whether the proposed trade fits within account-level risk limits.</t>
  </si>
  <si>
    <t xml:space="preserve">Position-Level Checks</t>
  </si>
  <si>
    <t xml:space="preserve">Every proposed trade is checked against: max risk-per-trade (% of equity, see Module 12), max position size (% of equity), and minimum acceptable risk/reward ratio. A trade failing any check is rejected outright, not resized down to fit — resizing can mask a signal that should not have fired at its original size.</t>
  </si>
  <si>
    <t xml:space="preserve">Portfolio-Level Checks</t>
  </si>
  <si>
    <t xml:space="preserve">Before approving a new position, the risk engine sums dollar risk across ALL currently open positions (portfolio heat) and rejects any new trade that would push total risk above the stated portfolio-heat limit, even if the new trade alone would pass its individual position check.</t>
  </si>
  <si>
    <t xml:space="preserve">Circuit Breakers</t>
  </si>
  <si>
    <t xml:space="preserve">Independent of any single trade, the system tracks realized daily P&amp;L. If losses reach the daily loss limit (see Module 12), the risk engine enters a halted state and rejects ALL new trades until manual review and reset — this protects against a malfunctioning signal layer or an unusually adverse market session compounding losses unattended.</t>
  </si>
  <si>
    <t xml:space="preserve">Kill Switch</t>
  </si>
  <si>
    <t xml:space="preserve">A manual, always-available override that immediately halts all new order submission and optionally flattens open positions, independent of any other system state. Any automated trading system must have this, and it must be tested regularly, not just built once and assumed to work.</t>
  </si>
  <si>
    <t xml:space="preserve">4. DEPLOYMENT ARCHITECTURE</t>
  </si>
  <si>
    <t xml:space="preserve">Scheduled Execution</t>
  </si>
  <si>
    <t xml:space="preserve">Systems built on scheduled-job infrastructure (e.g., GitHub Actions, cron, cloud schedulers) run at fixed intervals matching the strategy's candle timeframe, rather than maintaining a persistent always-on process — this is simpler to operate, easier to audit, and has a smaller failure surface for most retail-scale systematic strategies.</t>
  </si>
  <si>
    <t xml:space="preserve">Credential Management</t>
  </si>
  <si>
    <t xml:space="preserve">API keys and broker credentials are stored in encrypted secret stores (e.g., GitHub Secrets, a cloud provider's secrets manager) — never committed to source code or stored in plaintext. Token refresh logic (where a broker requires periodic re-authentication) runs as its own scheduled, independently-monitored process, separate from the trading logic itself.</t>
  </si>
  <si>
    <t xml:space="preserve">Idempotency &amp; State Recovery</t>
  </si>
  <si>
    <t xml:space="preserve">Every scheduled run must be safe to execute even if a prior run failed partway through — the system checks current broker-side position and order state before acting, rather than assuming its own last-known internal state is accurate. This prevents duplicate orders if a run crashes after submitting an order but before logging it.</t>
  </si>
  <si>
    <t xml:space="preserve">Environment Separation</t>
  </si>
  <si>
    <t xml:space="preserve">Paper-trading and live-trading configurations are fully separate (separate credentials, separate logging destinations, separate alert channels) so a configuration mistake cannot accidentally route paper-trading-intended orders to a live account, or vice versa.</t>
  </si>
  <si>
    <t xml:space="preserve">Observability</t>
  </si>
  <si>
    <t xml:space="preserve">Every run logs: signals generated, risk-engine decisions (including rejections and why), orders submitted, and fills received, to a persistent, queryable store — not just to ephemeral console output. Real-time alerts (Telegram/email) notify a human of fills, errors, and any risk-engine halt immediately, not on a delay.</t>
  </si>
  <si>
    <t xml:space="preserve">LICENSING &amp; USE</t>
  </si>
  <si>
    <t xml:space="preserve">Institutional-tier license holders may adapt, white-label, and resell this methodology document and its accompanying templates to their own clients (see full license terms in the Institutional Tier playbook PDF). This document describes a framework and a set of engineering principles — it is the buyer's sole responsibility to implement, test, paper-trade, and risk-manage any actual trading system built using this framework, and to comply with all applicable laws and brokerage terms of service in their jurisdiction.</t>
  </si>
</sst>
</file>

<file path=xl/styles.xml><?xml version="1.0" encoding="utf-8"?>
<styleSheet xmlns="http://schemas.openxmlformats.org/spreadsheetml/2006/main">
  <numFmts count="12">
    <numFmt numFmtId="164" formatCode="General"/>
    <numFmt numFmtId="165" formatCode="\$#,##0;&quot;($&quot;#,##0\);\-"/>
    <numFmt numFmtId="166" formatCode="0.0%;\(0.0%\);\-"/>
    <numFmt numFmtId="167" formatCode="0.00%;\(0.00%\);\-"/>
    <numFmt numFmtId="168" formatCode="0"/>
    <numFmt numFmtId="169" formatCode="mm/dd/yyyy"/>
    <numFmt numFmtId="170" formatCode="0.00"/>
    <numFmt numFmtId="171" formatCode="hh:mm"/>
    <numFmt numFmtId="172" formatCode="\$#,##0.00;&quot;($&quot;#,##0.00\);\-"/>
    <numFmt numFmtId="173" formatCode="0.0"/>
    <numFmt numFmtId="174" formatCode="0.000"/>
    <numFmt numFmtId="175" formatCode="0.0\x"/>
  </numFmts>
  <fonts count="29">
    <font>
      <sz val="11"/>
      <color theme="1"/>
      <name val="Calibri"/>
      <family val="2"/>
      <charset val="1"/>
    </font>
    <font>
      <sz val="10"/>
      <name val="Arial"/>
      <family val="0"/>
    </font>
    <font>
      <sz val="10"/>
      <name val="Arial"/>
      <family val="0"/>
    </font>
    <font>
      <sz val="10"/>
      <name val="Arial"/>
      <family val="0"/>
    </font>
    <font>
      <b val="true"/>
      <sz val="28"/>
      <color rgb="FF1B2A4A"/>
      <name val="Calibri"/>
      <family val="0"/>
      <charset val="1"/>
    </font>
    <font>
      <b val="true"/>
      <sz val="16"/>
      <color rgb="FFC9A227"/>
      <name val="Calibri"/>
      <family val="0"/>
      <charset val="1"/>
    </font>
    <font>
      <b val="true"/>
      <sz val="13"/>
      <color rgb="FFFFFFFF"/>
      <name val="Calibri"/>
      <family val="0"/>
      <charset val="1"/>
    </font>
    <font>
      <i val="true"/>
      <sz val="12"/>
      <color rgb="FF44546A"/>
      <name val="Calibri"/>
      <family val="0"/>
      <charset val="1"/>
    </font>
    <font>
      <b val="true"/>
      <sz val="12"/>
      <color rgb="FF1B2A4A"/>
      <name val="Calibri"/>
      <family val="0"/>
      <charset val="1"/>
    </font>
    <font>
      <b val="true"/>
      <sz val="10.5"/>
      <color rgb="FF1B2A4A"/>
      <name val="Calibri"/>
      <family val="0"/>
      <charset val="1"/>
    </font>
    <font>
      <i val="true"/>
      <sz val="9.5"/>
      <color rgb="FF44546A"/>
      <name val="Calibri"/>
      <family val="0"/>
      <charset val="1"/>
    </font>
    <font>
      <b val="true"/>
      <sz val="11"/>
      <color rgb="FFFFFFFF"/>
      <name val="Calibri"/>
      <family val="0"/>
      <charset val="1"/>
    </font>
    <font>
      <sz val="9.5"/>
      <color rgb="FF000000"/>
      <name val="Calibri"/>
      <family val="0"/>
      <charset val="1"/>
    </font>
    <font>
      <i val="true"/>
      <sz val="8.5"/>
      <color rgb="FF44546A"/>
      <name val="Calibri"/>
      <family val="0"/>
      <charset val="1"/>
    </font>
    <font>
      <b val="true"/>
      <sz val="16"/>
      <color rgb="FFFFFFFF"/>
      <name val="Calibri"/>
      <family val="0"/>
      <charset val="1"/>
    </font>
    <font>
      <i val="true"/>
      <sz val="10"/>
      <color rgb="FF44546A"/>
      <name val="Calibri"/>
      <family val="0"/>
      <charset val="1"/>
    </font>
    <font>
      <b val="true"/>
      <sz val="11"/>
      <color rgb="FF1B2A4A"/>
      <name val="Calibri"/>
      <family val="0"/>
      <charset val="1"/>
    </font>
    <font>
      <b val="true"/>
      <sz val="10"/>
      <name val="Calibri"/>
      <family val="0"/>
      <charset val="1"/>
    </font>
    <font>
      <b val="true"/>
      <sz val="10"/>
      <color rgb="FFFFFFFF"/>
      <name val="Calibri"/>
      <family val="0"/>
      <charset val="1"/>
    </font>
    <font>
      <sz val="10"/>
      <color rgb="FF000000"/>
      <name val="Calibri"/>
      <family val="0"/>
      <charset val="1"/>
    </font>
    <font>
      <sz val="10"/>
      <color rgb="FF0000FF"/>
      <name val="Calibri"/>
      <family val="0"/>
      <charset val="1"/>
    </font>
    <font>
      <b val="true"/>
      <sz val="10"/>
      <color rgb="FF000000"/>
      <name val="Calibri"/>
      <family val="0"/>
      <charset val="1"/>
    </font>
    <font>
      <b val="true"/>
      <i val="true"/>
      <sz val="10"/>
      <color rgb="FF000000"/>
      <name val="Calibri"/>
      <family val="0"/>
      <charset val="1"/>
    </font>
    <font>
      <i val="true"/>
      <sz val="10"/>
      <color rgb="FF000000"/>
      <name val="Calibri"/>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44546A"/>
      <name val="Calibri"/>
      <family val="0"/>
      <charset val="1"/>
    </font>
    <font>
      <b val="true"/>
      <sz val="10.5"/>
      <color rgb="FF000000"/>
      <name val="Calibri"/>
      <family val="0"/>
      <charset val="1"/>
    </font>
  </fonts>
  <fills count="9">
    <fill>
      <patternFill patternType="none"/>
    </fill>
    <fill>
      <patternFill patternType="gray125"/>
    </fill>
    <fill>
      <patternFill patternType="solid">
        <fgColor rgb="FF44546A"/>
        <bgColor rgb="FF674F84"/>
      </patternFill>
    </fill>
    <fill>
      <patternFill patternType="solid">
        <fgColor rgb="FF1B2A4A"/>
        <bgColor rgb="FF003366"/>
      </patternFill>
    </fill>
    <fill>
      <patternFill patternType="solid">
        <fgColor rgb="FFC9A227"/>
        <bgColor rgb="FFDC853E"/>
      </patternFill>
    </fill>
    <fill>
      <patternFill patternType="solid">
        <fgColor rgb="FFF4E9C8"/>
        <bgColor rgb="FFF2F2F2"/>
      </patternFill>
    </fill>
    <fill>
      <patternFill patternType="solid">
        <fgColor rgb="FFF2F2F2"/>
        <bgColor rgb="FFE8ECF3"/>
      </patternFill>
    </fill>
    <fill>
      <patternFill patternType="solid">
        <fgColor rgb="FFE8ECF3"/>
        <bgColor rgb="FFF2F2F2"/>
      </patternFill>
    </fill>
    <fill>
      <patternFill patternType="solid">
        <fgColor rgb="FFB3261E"/>
        <bgColor rgb="FF9D3E3B"/>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false" indent="1"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11" fillId="3" borderId="0" xfId="0" applyFont="true" applyBorder="true" applyAlignment="true" applyProtection="false">
      <alignment horizontal="left" vertical="center" textRotation="0" wrapText="false" indent="1" shrinkToFit="false"/>
      <protection locked="true" hidden="false"/>
    </xf>
    <xf numFmtId="164" fontId="12" fillId="0" borderId="0" xfId="0" applyFont="true" applyBorder="true" applyAlignment="true" applyProtection="false">
      <alignment horizontal="left" vertical="bottom" textRotation="0" wrapText="true" indent="1"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14" fillId="3" borderId="0" xfId="0" applyFont="true" applyBorder="true" applyAlignment="true" applyProtection="false">
      <alignment horizontal="left" vertical="center" textRotation="0" wrapText="false" indent="1"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4" borderId="0" xfId="0" applyFont="true" applyBorder="true" applyAlignment="true" applyProtection="false">
      <alignment horizontal="left" vertical="center" textRotation="0" wrapText="false" indent="1"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false" indent="1" shrinkToFit="false"/>
      <protection locked="true" hidden="false"/>
    </xf>
    <xf numFmtId="165" fontId="20" fillId="5" borderId="1" xfId="0" applyFont="true" applyBorder="true" applyAlignment="true" applyProtection="false">
      <alignment horizontal="center" vertical="bottom" textRotation="0" wrapText="false" indent="0" shrinkToFit="false"/>
      <protection locked="true" hidden="false"/>
    </xf>
    <xf numFmtId="165" fontId="21" fillId="0" borderId="1" xfId="0" applyFont="true" applyBorder="true" applyAlignment="true" applyProtection="false">
      <alignment horizontal="center" vertical="bottom" textRotation="0" wrapText="false" indent="0" shrinkToFit="false"/>
      <protection locked="true" hidden="false"/>
    </xf>
    <xf numFmtId="164" fontId="21" fillId="6" borderId="1" xfId="0" applyFont="true" applyBorder="true" applyAlignment="true" applyProtection="false">
      <alignment horizontal="left" vertical="center" textRotation="0" wrapText="false" indent="0" shrinkToFit="false"/>
      <protection locked="true" hidden="false"/>
    </xf>
    <xf numFmtId="165" fontId="21" fillId="6" borderId="1" xfId="0" applyFont="true" applyBorder="true" applyAlignment="true" applyProtection="false">
      <alignment horizontal="center" vertical="bottom" textRotation="0" wrapText="false" indent="0" shrinkToFit="false"/>
      <protection locked="true" hidden="false"/>
    </xf>
    <xf numFmtId="164" fontId="11" fillId="2" borderId="0" xfId="0" applyFont="true" applyBorder="true" applyAlignment="true" applyProtection="false">
      <alignment horizontal="left" vertical="center" textRotation="0" wrapText="false" indent="1" shrinkToFit="false"/>
      <protection locked="true" hidden="false"/>
    </xf>
    <xf numFmtId="164" fontId="21" fillId="0" borderId="0" xfId="0" applyFont="true" applyBorder="false" applyAlignment="true" applyProtection="false">
      <alignment horizontal="left" vertical="center" textRotation="0" wrapText="false" indent="0" shrinkToFit="false"/>
      <protection locked="true" hidden="false"/>
    </xf>
    <xf numFmtId="164" fontId="22" fillId="7" borderId="0" xfId="0" applyFont="true" applyBorder="false" applyAlignment="true" applyProtection="false">
      <alignment horizontal="left" vertical="center"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2" shrinkToFit="false"/>
      <protection locked="true" hidden="false"/>
    </xf>
    <xf numFmtId="165" fontId="19" fillId="0" borderId="1" xfId="0" applyFont="true" applyBorder="true" applyAlignment="true" applyProtection="false">
      <alignment horizontal="center" vertical="bottom" textRotation="0" wrapText="false" indent="0" shrinkToFit="false"/>
      <protection locked="true" hidden="false"/>
    </xf>
    <xf numFmtId="164" fontId="21" fillId="6" borderId="0" xfId="0" applyFont="true" applyBorder="false" applyAlignment="true" applyProtection="false">
      <alignment horizontal="left" vertical="center" textRotation="0" wrapText="false" indent="1" shrinkToFit="false"/>
      <protection locked="true" hidden="false"/>
    </xf>
    <xf numFmtId="164" fontId="21" fillId="5" borderId="1" xfId="0" applyFont="true" applyBorder="true" applyAlignment="true" applyProtection="false">
      <alignment horizontal="left" vertical="center" textRotation="0" wrapText="false" indent="0" shrinkToFit="false"/>
      <protection locked="true" hidden="false"/>
    </xf>
    <xf numFmtId="165" fontId="21" fillId="5" borderId="1"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0" shrinkToFit="false"/>
      <protection locked="true" hidden="false"/>
    </xf>
    <xf numFmtId="166" fontId="19" fillId="0"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left" vertical="bottom" textRotation="0" wrapText="false" indent="0" shrinkToFit="false"/>
      <protection locked="true" hidden="false"/>
    </xf>
    <xf numFmtId="167" fontId="20" fillId="5" borderId="1" xfId="0" applyFont="true" applyBorder="true" applyAlignment="true" applyProtection="false">
      <alignment horizontal="center" vertical="bottom" textRotation="0" wrapText="false" indent="0" shrinkToFit="false"/>
      <protection locked="true" hidden="false"/>
    </xf>
    <xf numFmtId="168" fontId="19" fillId="0" borderId="1" xfId="0" applyFont="true" applyBorder="true" applyAlignment="true" applyProtection="false">
      <alignment horizontal="center" vertical="bottom" textRotation="0" wrapText="false" indent="0" shrinkToFit="false"/>
      <protection locked="true" hidden="false"/>
    </xf>
    <xf numFmtId="167" fontId="21" fillId="6" borderId="1" xfId="0" applyFont="true" applyBorder="true" applyAlignment="true" applyProtection="false">
      <alignment horizontal="center"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true" indent="0" shrinkToFit="false"/>
      <protection locked="true" hidden="false"/>
    </xf>
    <xf numFmtId="168" fontId="20" fillId="5" borderId="1" xfId="0" applyFont="true" applyBorder="true" applyAlignment="true" applyProtection="false">
      <alignment horizontal="center" vertical="bottom" textRotation="0" wrapText="false" indent="0" shrinkToFit="false"/>
      <protection locked="true" hidden="false"/>
    </xf>
    <xf numFmtId="166" fontId="20" fillId="5" borderId="1"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false" applyAlignment="true" applyProtection="false">
      <alignment horizontal="left" vertical="center" textRotation="0" wrapText="false" indent="1" shrinkToFit="false"/>
      <protection locked="true" hidden="false"/>
    </xf>
    <xf numFmtId="168" fontId="21" fillId="0" borderId="1" xfId="0" applyFont="true" applyBorder="true" applyAlignment="true" applyProtection="false">
      <alignment horizontal="center" vertical="bottom" textRotation="0" wrapText="false" indent="0" shrinkToFit="false"/>
      <protection locked="true" hidden="false"/>
    </xf>
    <xf numFmtId="164" fontId="17" fillId="0" borderId="0" xfId="0" applyFont="true" applyBorder="false" applyAlignment="true" applyProtection="false">
      <alignment horizontal="left" vertical="center" textRotation="0" wrapText="false" indent="1"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21" fillId="5" borderId="0" xfId="0" applyFont="true" applyBorder="false" applyAlignment="true" applyProtection="false">
      <alignment horizontal="left" vertical="center" textRotation="0" wrapText="false" indent="1"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0" fillId="5" borderId="2" xfId="0" applyFont="true" applyBorder="true" applyAlignment="true" applyProtection="false">
      <alignment horizontal="left" vertical="bottom" textRotation="0" wrapText="false" indent="1" shrinkToFit="false"/>
      <protection locked="true" hidden="false"/>
    </xf>
    <xf numFmtId="169" fontId="20" fillId="5"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center" vertical="bottom" textRotation="0" wrapText="false" indent="0" shrinkToFit="false"/>
      <protection locked="true" hidden="false"/>
    </xf>
    <xf numFmtId="170" fontId="19" fillId="0" borderId="1" xfId="0" applyFont="true" applyBorder="true" applyAlignment="true" applyProtection="false">
      <alignment horizontal="center" vertical="bottom" textRotation="0" wrapText="false" indent="0" shrinkToFit="false"/>
      <protection locked="true" hidden="false"/>
    </xf>
    <xf numFmtId="170" fontId="20" fillId="5" borderId="1" xfId="0" applyFont="true" applyBorder="true" applyAlignment="true" applyProtection="false">
      <alignment horizontal="center" vertical="bottom" textRotation="0" wrapText="false" indent="0" shrinkToFit="false"/>
      <protection locked="true" hidden="false"/>
    </xf>
    <xf numFmtId="171" fontId="20" fillId="5" borderId="1" xfId="0" applyFont="true" applyBorder="true" applyAlignment="true" applyProtection="false">
      <alignment horizontal="center" vertical="bottom" textRotation="0" wrapText="false" indent="0" shrinkToFit="false"/>
      <protection locked="true" hidden="false"/>
    </xf>
    <xf numFmtId="172" fontId="20" fillId="5"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left" vertical="bottom" textRotation="0" wrapText="true" indent="0" shrinkToFit="false"/>
      <protection locked="true" hidden="false"/>
    </xf>
    <xf numFmtId="166" fontId="21" fillId="0" borderId="1" xfId="0" applyFont="true" applyBorder="true" applyAlignment="true" applyProtection="false">
      <alignment horizontal="center" vertical="bottom" textRotation="0" wrapText="false" indent="0" shrinkToFit="false"/>
      <protection locked="true" hidden="false"/>
    </xf>
    <xf numFmtId="170" fontId="21" fillId="0" borderId="1" xfId="0" applyFont="true" applyBorder="true" applyAlignment="true" applyProtection="false">
      <alignment horizontal="center" vertical="bottom" textRotation="0" wrapText="false" indent="0" shrinkToFit="false"/>
      <protection locked="true" hidden="false"/>
    </xf>
    <xf numFmtId="173" fontId="21" fillId="0" borderId="1"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true" applyAlignment="true" applyProtection="false">
      <alignment horizontal="left" vertical="center" textRotation="0" wrapText="false" indent="0" shrinkToFit="false"/>
      <protection locked="true" hidden="false"/>
    </xf>
    <xf numFmtId="164" fontId="20" fillId="5" borderId="2" xfId="0" applyFont="true" applyBorder="true" applyAlignment="true" applyProtection="false">
      <alignment horizontal="left" vertical="bottom" textRotation="0" wrapText="true" indent="1" shrinkToFit="false"/>
      <protection locked="true" hidden="false"/>
    </xf>
    <xf numFmtId="168" fontId="19" fillId="5" borderId="1" xfId="0" applyFont="true" applyBorder="true" applyAlignment="true" applyProtection="false">
      <alignment horizontal="center" vertical="bottom" textRotation="0" wrapText="false" indent="0" shrinkToFit="false"/>
      <protection locked="true" hidden="false"/>
    </xf>
    <xf numFmtId="164" fontId="21" fillId="6" borderId="0" xfId="0" applyFont="true" applyBorder="false" applyAlignment="true" applyProtection="false">
      <alignment horizontal="left" vertical="center" textRotation="0" wrapText="false" indent="0" shrinkToFit="false"/>
      <protection locked="true" hidden="false"/>
    </xf>
    <xf numFmtId="173" fontId="19" fillId="5" borderId="1"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left" vertical="center" textRotation="0" wrapText="false" indent="1"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21" fillId="5"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72" fontId="19" fillId="0" borderId="1" xfId="0" applyFont="true" applyBorder="true" applyAlignment="true" applyProtection="false">
      <alignment horizontal="center" vertical="bottom" textRotation="0" wrapText="false" indent="0" shrinkToFit="false"/>
      <protection locked="true" hidden="false"/>
    </xf>
    <xf numFmtId="164" fontId="23" fillId="5" borderId="0" xfId="0" applyFont="true" applyBorder="false" applyAlignment="true" applyProtection="false">
      <alignment horizontal="left" vertical="center" textRotation="0" wrapText="false" indent="0" shrinkToFit="false"/>
      <protection locked="true" hidden="false"/>
    </xf>
    <xf numFmtId="164" fontId="19" fillId="5" borderId="1" xfId="0" applyFont="true" applyBorder="true" applyAlignment="true" applyProtection="false">
      <alignment horizontal="center" vertical="bottom" textRotation="0" wrapText="false" indent="0" shrinkToFit="false"/>
      <protection locked="true" hidden="false"/>
    </xf>
    <xf numFmtId="164" fontId="20" fillId="5" borderId="1" xfId="0" applyFont="true" applyBorder="true" applyAlignment="true" applyProtection="false">
      <alignment horizontal="left" vertical="bottom" textRotation="0" wrapText="false" indent="1" shrinkToFit="false"/>
      <protection locked="true" hidden="false"/>
    </xf>
    <xf numFmtId="164" fontId="20" fillId="5" borderId="2" xfId="0" applyFont="true" applyBorder="true" applyAlignment="true" applyProtection="false">
      <alignment horizontal="center" vertical="bottom" textRotation="0" wrapText="false" indent="0" shrinkToFit="false"/>
      <protection locked="true" hidden="false"/>
    </xf>
    <xf numFmtId="174" fontId="19" fillId="0" borderId="1" xfId="0" applyFont="true" applyBorder="true" applyAlignment="true" applyProtection="false">
      <alignment horizontal="center" vertical="bottom" textRotation="0" wrapText="false" indent="0" shrinkToFit="false"/>
      <protection locked="true" hidden="false"/>
    </xf>
    <xf numFmtId="164" fontId="27" fillId="0" borderId="0" xfId="0" applyFont="true" applyBorder="false" applyAlignment="true" applyProtection="false">
      <alignment horizontal="left" vertical="bottom" textRotation="0" wrapText="true" indent="0" shrinkToFit="false"/>
      <protection locked="true" hidden="false"/>
    </xf>
    <xf numFmtId="175" fontId="20" fillId="5" borderId="1" xfId="0" applyFont="true" applyBorder="true" applyAlignment="true" applyProtection="false">
      <alignment horizontal="center" vertical="bottom" textRotation="0" wrapText="false" indent="0" shrinkToFit="false"/>
      <protection locked="true" hidden="false"/>
    </xf>
    <xf numFmtId="175" fontId="21" fillId="6" borderId="1" xfId="0" applyFont="true" applyBorder="true" applyAlignment="true" applyProtection="false">
      <alignment horizontal="center" vertical="bottom" textRotation="0" wrapText="false" indent="0" shrinkToFit="false"/>
      <protection locked="true" hidden="false"/>
    </xf>
    <xf numFmtId="164" fontId="11" fillId="8" borderId="0" xfId="0" applyFont="true" applyBorder="true" applyAlignment="true" applyProtection="false">
      <alignment horizontal="left" vertical="center" textRotation="0" wrapText="false" indent="1" shrinkToFit="false"/>
      <protection locked="true" hidden="false"/>
    </xf>
    <xf numFmtId="164" fontId="28" fillId="5" borderId="0" xfId="0" applyFont="true" applyBorder="false" applyAlignment="true" applyProtection="false">
      <alignment horizontal="left" vertical="center"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bgColor rgb="FFFFC7CE"/>
        </patternFill>
      </fill>
    </dxf>
    <dxf>
      <fill>
        <patternFill>
          <bgColor rgb="FFC6EFCE"/>
        </patternFill>
      </fill>
    </dxf>
  </dxfs>
  <colors>
    <indexedColors>
      <rgbColor rgb="FF000000"/>
      <rgbColor rgb="FFFFFFFF"/>
      <rgbColor rgb="FFFF0000"/>
      <rgbColor rgb="FF00FF00"/>
      <rgbColor rgb="FF0000FF"/>
      <rgbColor rgb="FFD09493"/>
      <rgbColor rgb="FFFF00FF"/>
      <rgbColor rgb="FF00FFFF"/>
      <rgbColor rgb="FF800000"/>
      <rgbColor rgb="FF8AA64F"/>
      <rgbColor rgb="FF000080"/>
      <rgbColor rgb="FF7E9945"/>
      <rgbColor rgb="FFBE4B48"/>
      <rgbColor rgb="FF4299B0"/>
      <rgbColor rgb="FFBFBFBF"/>
      <rgbColor rgb="FF878787"/>
      <rgbColor rgb="FF93A9CE"/>
      <rgbColor rgb="FF9D3E3B"/>
      <rgbColor rgb="FFF2F2F2"/>
      <rgbColor rgb="FFE8ECF3"/>
      <rgbColor rgb="FF660066"/>
      <rgbColor rgb="FFDC853E"/>
      <rgbColor rgb="FF4672A8"/>
      <rgbColor rgb="FFD9D9D9"/>
      <rgbColor rgb="FF000080"/>
      <rgbColor rgb="FFFF00FF"/>
      <rgbColor rgb="FFFFFF00"/>
      <rgbColor rgb="FF00FFFF"/>
      <rgbColor rgb="FF7D5FA0"/>
      <rgbColor rgb="FF800000"/>
      <rgbColor rgb="FF4F81BD"/>
      <rgbColor rgb="FF0000FF"/>
      <rgbColor rgb="FF00CCFF"/>
      <rgbColor rgb="FFB8CD97"/>
      <rgbColor rgb="FFC6EFCE"/>
      <rgbColor rgb="FFF4E9C8"/>
      <rgbColor rgb="FF92C3D5"/>
      <rgbColor rgb="FFF8B590"/>
      <rgbColor rgb="FFA5B5D3"/>
      <rgbColor rgb="FFFFC7CE"/>
      <rgbColor rgb="FF4A7EBB"/>
      <rgbColor rgb="FF46AAC4"/>
      <rgbColor rgb="FF98B855"/>
      <rgbColor rgb="FFC9A227"/>
      <rgbColor rgb="FFF59240"/>
      <rgbColor rgb="FFCB7934"/>
      <rgbColor rgb="FF725990"/>
      <rgbColor rgb="FFA99BBD"/>
      <rgbColor rgb="FF003366"/>
      <rgbColor rgb="FF398BA2"/>
      <rgbColor rgb="FF003300"/>
      <rgbColor rgb="FF674F84"/>
      <rgbColor rgb="FFB3261E"/>
      <rgbColor rgb="FFAB4744"/>
      <rgbColor rgb="FF44546A"/>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Net Cash Flow</a:t>
            </a:r>
          </a:p>
        </c:rich>
      </c:tx>
      <c:overlay val="0"/>
      <c:spPr>
        <a:noFill/>
        <a:ln w="0">
          <a:noFill/>
        </a:ln>
      </c:spPr>
    </c:title>
    <c:autoTitleDeleted val="0"/>
    <c:plotArea>
      <c:barChart>
        <c:barDir val="col"/>
        <c:grouping val="clustered"/>
        <c:varyColors val="0"/>
        <c:ser>
          <c:idx val="0"/>
          <c:order val="0"/>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System'!$C$61</c:f>
              <c:numCache>
                <c:formatCode>\$#,##0;"($"#,##0\);\-</c:formatCode>
                <c:ptCount val="1"/>
                <c:pt idx="0">
                  <c:v>0</c:v>
                </c:pt>
              </c:numCache>
            </c:numRef>
          </c:val>
        </c:ser>
        <c:ser>
          <c:idx val="1"/>
          <c:order val="1"/>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System'!$D$61</c:f>
              <c:numCache>
                <c:formatCode>\$#,##0;"($"#,##0\);\-</c:formatCode>
                <c:ptCount val="1"/>
                <c:pt idx="0">
                  <c:v>0</c:v>
                </c:pt>
              </c:numCache>
            </c:numRef>
          </c:val>
        </c:ser>
        <c:ser>
          <c:idx val="2"/>
          <c:order val="2"/>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System'!$E$61</c:f>
              <c:numCache>
                <c:formatCode>\$#,##0;"($"#,##0\);\-</c:formatCode>
                <c:ptCount val="1"/>
                <c:pt idx="0">
                  <c:v>0</c:v>
                </c:pt>
              </c:numCache>
            </c:numRef>
          </c:val>
        </c:ser>
        <c:ser>
          <c:idx val="3"/>
          <c:order val="3"/>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System'!$F$61</c:f>
              <c:numCache>
                <c:formatCode>\$#,##0;"($"#,##0\);\-</c:formatCode>
                <c:ptCount val="1"/>
                <c:pt idx="0">
                  <c:v>0</c:v>
                </c:pt>
              </c:numCache>
            </c:numRef>
          </c:val>
        </c:ser>
        <c:ser>
          <c:idx val="4"/>
          <c:order val="4"/>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System'!$G$61</c:f>
              <c:numCache>
                <c:formatCode>\$#,##0;"($"#,##0\);\-</c:formatCode>
                <c:ptCount val="1"/>
                <c:pt idx="0">
                  <c:v>0</c:v>
                </c:pt>
              </c:numCache>
            </c:numRef>
          </c:val>
        </c:ser>
        <c:ser>
          <c:idx val="5"/>
          <c:order val="5"/>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System'!$H$61</c:f>
              <c:numCache>
                <c:formatCode>\$#,##0;"($"#,##0\);\-</c:formatCode>
                <c:ptCount val="1"/>
                <c:pt idx="0">
                  <c:v>0</c:v>
                </c:pt>
              </c:numCache>
            </c:numRef>
          </c:val>
        </c:ser>
        <c:ser>
          <c:idx val="6"/>
          <c:order val="6"/>
          <c:spPr>
            <a:solidFill>
              <a:srgbClr val="93a9c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System'!$I$61</c:f>
              <c:numCache>
                <c:formatCode>\$#,##0;"($"#,##0\);\-</c:formatCode>
                <c:ptCount val="1"/>
                <c:pt idx="0">
                  <c:v>0</c:v>
                </c:pt>
              </c:numCache>
            </c:numRef>
          </c:val>
        </c:ser>
        <c:ser>
          <c:idx val="7"/>
          <c:order val="7"/>
          <c:spPr>
            <a:solidFill>
              <a:srgbClr val="d0949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System'!$J$61</c:f>
              <c:numCache>
                <c:formatCode>\$#,##0;"($"#,##0\);\-</c:formatCode>
                <c:ptCount val="1"/>
                <c:pt idx="0">
                  <c:v>0</c:v>
                </c:pt>
              </c:numCache>
            </c:numRef>
          </c:val>
        </c:ser>
        <c:ser>
          <c:idx val="8"/>
          <c:order val="8"/>
          <c:spPr>
            <a:solidFill>
              <a:srgbClr val="b8cd9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System'!$K$61</c:f>
              <c:numCache>
                <c:formatCode>\$#,##0;"($"#,##0\);\-</c:formatCode>
                <c:ptCount val="1"/>
                <c:pt idx="0">
                  <c:v>0</c:v>
                </c:pt>
              </c:numCache>
            </c:numRef>
          </c:val>
        </c:ser>
        <c:ser>
          <c:idx val="9"/>
          <c:order val="9"/>
          <c:spPr>
            <a:solidFill>
              <a:srgbClr val="a99b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System'!$L$61</c:f>
              <c:numCache>
                <c:formatCode>\$#,##0;"($"#,##0\);\-</c:formatCode>
                <c:ptCount val="1"/>
                <c:pt idx="0">
                  <c:v>0</c:v>
                </c:pt>
              </c:numCache>
            </c:numRef>
          </c:val>
        </c:ser>
        <c:ser>
          <c:idx val="10"/>
          <c:order val="10"/>
          <c:spPr>
            <a:solidFill>
              <a:srgbClr val="92c3d5"/>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System'!$M$61</c:f>
              <c:numCache>
                <c:formatCode>\$#,##0;"($"#,##0\);\-</c:formatCode>
                <c:ptCount val="1"/>
                <c:pt idx="0">
                  <c:v>0</c:v>
                </c:pt>
              </c:numCache>
            </c:numRef>
          </c:val>
        </c:ser>
        <c:ser>
          <c:idx val="11"/>
          <c:order val="11"/>
          <c:spPr>
            <a:solidFill>
              <a:srgbClr val="f8b5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'01 Budgeting System'!$C$6:$N$6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'01 Budgeting System'!$N$61</c:f>
              <c:numCache>
                <c:formatCode>\$#,##0;"($"#,##0\);\-</c:formatCode>
                <c:ptCount val="1"/>
                <c:pt idx="0">
                  <c:v>0</c:v>
                </c:pt>
              </c:numCache>
            </c:numRef>
          </c:val>
        </c:ser>
        <c:gapWidth val="150"/>
        <c:overlap val="0"/>
        <c:axId val="74252974"/>
        <c:axId val="99034423"/>
      </c:barChart>
      <c:catAx>
        <c:axId val="7425297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Month</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034423"/>
        <c:crosses val="autoZero"/>
        <c:auto val="1"/>
        <c:lblAlgn val="ctr"/>
        <c:lblOffset val="100"/>
        <c:noMultiLvlLbl val="0"/>
      </c:catAx>
      <c:valAx>
        <c:axId val="9903442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USD</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25297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Avalanche vs. Snowball — Months to Debt-Free</a:t>
            </a:r>
          </a:p>
        </c:rich>
      </c:tx>
      <c:overlay val="0"/>
      <c:spPr>
        <a:noFill/>
        <a:ln w="0">
          <a:noFill/>
        </a:ln>
      </c:spPr>
    </c:title>
    <c:autoTitleDeleted val="0"/>
    <c:plotArea>
      <c:barChart>
        <c:barDir val="col"/>
        <c:grouping val="clustered"/>
        <c:varyColors val="0"/>
        <c:ser>
          <c:idx val="0"/>
          <c:order val="0"/>
          <c:tx>
            <c:strRef>
              <c:f>'02 Debt Payoff Optimizer'!D17</c:f>
              <c:strCache>
                <c:ptCount val="1"/>
                <c:pt idx="0">
                  <c:v>Est. Months to Debt-Free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'02 Debt Payoff Optimizer'!$B$18:$B$19</c:f>
              <c:strCache>
                <c:ptCount val="2"/>
                <c:pt idx="0">
                  <c:v>Avalanche</c:v>
                </c:pt>
                <c:pt idx="1">
                  <c:v>Snowball</c:v>
                </c:pt>
              </c:strCache>
            </c:strRef>
          </c:cat>
          <c:val>
            <c:numRef>
              <c:f>'02 Debt Payoff Optimizer'!$D$18:$D$19</c:f>
              <c:numCache>
                <c:formatCode>0</c:formatCode>
                <c:ptCount val="2"/>
                <c:pt idx="0">
                  <c:v>92</c:v>
                </c:pt>
                <c:pt idx="1">
                  <c:v>96</c:v>
                </c:pt>
              </c:numCache>
            </c:numRef>
          </c:val>
        </c:ser>
        <c:gapWidth val="150"/>
        <c:overlap val="0"/>
        <c:axId val="60139540"/>
        <c:axId val="55111026"/>
      </c:barChart>
      <c:catAx>
        <c:axId val="601395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111026"/>
        <c:crosses val="autoZero"/>
        <c:auto val="1"/>
        <c:lblAlgn val="ctr"/>
        <c:lblOffset val="100"/>
        <c:noMultiLvlLbl val="0"/>
      </c:catAx>
      <c:valAx>
        <c:axId val="55111026"/>
        <c:scaling>
          <c:orientation val="minMax"/>
        </c:scaling>
        <c:delete val="0"/>
        <c:axPos val="l"/>
        <c:majorGridlines>
          <c:spPr>
            <a:ln w="9360">
              <a:solidFill>
                <a:srgbClr val="878787"/>
              </a:solidFill>
              <a:round/>
            </a:ln>
          </c:spPr>
        </c:majorGridlines>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013954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Projected Retirement Balance Over Time</a:t>
            </a:r>
          </a:p>
        </c:rich>
      </c:tx>
      <c:overlay val="0"/>
      <c:spPr>
        <a:noFill/>
        <a:ln w="0">
          <a:noFill/>
        </a:ln>
      </c:spPr>
    </c:title>
    <c:autoTitleDeleted val="0"/>
    <c:plotArea>
      <c:lineChart>
        <c:grouping val="standard"/>
        <c:varyColors val="0"/>
        <c:ser>
          <c:idx val="0"/>
          <c:order val="0"/>
          <c:tx>
            <c:strRef>
              <c:f>'03 Retirement Projector'!G27</c:f>
              <c:strCache>
                <c:ptCount val="1"/>
                <c:pt idx="0">
                  <c:v>Ending Balance</c:v>
                </c:pt>
              </c:strCache>
            </c:strRef>
          </c:tx>
          <c:spPr>
            <a:solidFill>
              <a:srgbClr val="1b2a4a"/>
            </a:solidFill>
            <a:ln w="28440">
              <a:solidFill>
                <a:srgbClr val="1b2a4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'03 Retirement Projector'!$C$28:$C$67</c:f>
              <c:strCache>
                <c:ptCount val="40"/>
                <c:pt idx="0">
                  <c:v>32</c:v>
                </c:pt>
                <c:pt idx="1">
                  <c:v>33</c:v>
                </c:pt>
                <c:pt idx="2">
                  <c:v>34</c:v>
                </c:pt>
                <c:pt idx="3">
                  <c:v>35</c:v>
                </c:pt>
                <c:pt idx="4">
                  <c:v>36</c:v>
                </c:pt>
                <c:pt idx="5">
                  <c:v>37</c:v>
                </c:pt>
                <c:pt idx="6">
                  <c:v>38</c:v>
                </c:pt>
                <c:pt idx="7">
                  <c:v>39</c:v>
                </c:pt>
                <c:pt idx="8">
                  <c:v>40</c:v>
                </c:pt>
                <c:pt idx="9">
                  <c:v>41</c:v>
                </c:pt>
                <c:pt idx="10">
                  <c:v>42</c:v>
                </c:pt>
                <c:pt idx="11">
                  <c:v>43</c:v>
                </c:pt>
                <c:pt idx="12">
                  <c:v>44</c:v>
                </c:pt>
                <c:pt idx="13">
                  <c:v>45</c:v>
                </c:pt>
                <c:pt idx="14">
                  <c:v>46</c:v>
                </c:pt>
                <c:pt idx="15">
                  <c:v>47</c:v>
                </c:pt>
                <c:pt idx="16">
                  <c:v>48</c:v>
                </c:pt>
                <c:pt idx="17">
                  <c:v>49</c:v>
                </c:pt>
                <c:pt idx="18">
                  <c:v>50</c:v>
                </c:pt>
                <c:pt idx="19">
                  <c:v>51</c:v>
                </c:pt>
                <c:pt idx="20">
                  <c:v>52</c:v>
                </c:pt>
                <c:pt idx="21">
                  <c:v>53</c:v>
                </c:pt>
                <c:pt idx="22">
                  <c:v>54</c:v>
                </c:pt>
                <c:pt idx="23">
                  <c:v>55</c:v>
                </c:pt>
                <c:pt idx="24">
                  <c:v>56</c:v>
                </c:pt>
                <c:pt idx="25">
                  <c:v>57</c:v>
                </c:pt>
                <c:pt idx="26">
                  <c:v>58</c:v>
                </c:pt>
                <c:pt idx="27">
                  <c:v>59</c:v>
                </c:pt>
                <c:pt idx="28">
                  <c:v>60</c:v>
                </c:pt>
                <c:pt idx="29">
                  <c:v>61</c:v>
                </c:pt>
                <c:pt idx="30">
                  <c:v>62</c:v>
                </c:pt>
                <c:pt idx="31">
                  <c:v>63</c:v>
                </c:pt>
                <c:pt idx="32">
                  <c:v>64</c:v>
                </c:pt>
                <c:pt idx="33">
                  <c:v>65</c:v>
                </c:pt>
                <c:pt idx="34">
                  <c:v>66</c:v>
                </c:pt>
                <c:pt idx="35">
                  <c:v>67</c:v>
                </c:pt>
                <c:pt idx="36">
                  <c:v>68</c:v>
                </c:pt>
                <c:pt idx="37">
                  <c:v>69</c:v>
                </c:pt>
                <c:pt idx="38">
                  <c:v>70</c:v>
                </c:pt>
                <c:pt idx="39">
                  <c:v>71</c:v>
                </c:pt>
              </c:strCache>
            </c:strRef>
          </c:cat>
          <c:val>
            <c:numRef>
              <c:f>'03 Retirement Projector'!$G$28:$G$67</c:f>
              <c:numCache>
                <c:formatCode>\$#,##0;"($"#,##0\);\-</c:formatCode>
                <c:ptCount val="40"/>
                <c:pt idx="0">
                  <c:v>109580</c:v>
                </c:pt>
                <c:pt idx="1">
                  <c:v>136439.5</c:v>
                </c:pt>
                <c:pt idx="2">
                  <c:v>165754.832</c:v>
                </c:pt>
                <c:pt idx="3">
                  <c:v>197715.17425</c:v>
                </c:pt>
                <c:pt idx="4">
                  <c:v>232523.4655778</c:v>
                </c:pt>
                <c:pt idx="5">
                  <c:v>270397.384172455</c:v>
                </c:pt>
                <c:pt idx="6">
                  <c:v>311570.395348862</c:v>
                </c:pt>
                <c:pt idx="7">
                  <c:v>356292.873136148</c:v>
                </c:pt>
                <c:pt idx="8">
                  <c:v>404833.300871929</c:v>
                </c:pt>
                <c:pt idx="9">
                  <c:v>457479.556347703</c:v>
                </c:pt>
                <c:pt idx="10">
                  <c:v>514540.287439224</c:v>
                </c:pt>
                <c:pt idx="11">
                  <c:v>576346.384571566</c:v>
                </c:pt>
                <c:pt idx="12">
                  <c:v>643252.55681352</c:v>
                </c:pt>
                <c:pt idx="13">
                  <c:v>715639.018872069</c:v>
                </c:pt>
                <c:pt idx="14">
                  <c:v>793913.296767164</c:v>
                </c:pt>
                <c:pt idx="15">
                  <c:v>878512.160512138</c:v>
                </c:pt>
                <c:pt idx="16">
                  <c:v>969903.692708398</c:v>
                </c:pt>
                <c:pt idx="17">
                  <c:v>1068589.50258721</c:v>
                </c:pt>
                <c:pt idx="18">
                  <c:v>1175107.09569921</c:v>
                </c:pt>
                <c:pt idx="19">
                  <c:v>1290032.41016698</c:v>
                </c:pt>
                <c:pt idx="20">
                  <c:v>1413982.53118056</c:v>
                </c:pt>
                <c:pt idx="21">
                  <c:v>1547618.59623415</c:v>
                </c:pt>
                <c:pt idx="22">
                  <c:v>1691648.90447762</c:v>
                </c:pt>
                <c:pt idx="23">
                  <c:v>1846832.24449334</c:v>
                </c:pt>
                <c:pt idx="24">
                  <c:v>2013981.45581123</c:v>
                </c:pt>
                <c:pt idx="25">
                  <c:v>2193967.24054748</c:v>
                </c:pt>
                <c:pt idx="26">
                  <c:v>2387722.24270014</c:v>
                </c:pt>
                <c:pt idx="27">
                  <c:v>2596245.41386292</c:v>
                </c:pt>
                <c:pt idx="28">
                  <c:v>2713076.45748676</c:v>
                </c:pt>
                <c:pt idx="29">
                  <c:v>2835164.89807366</c:v>
                </c:pt>
                <c:pt idx="30">
                  <c:v>2962747.31848697</c:v>
                </c:pt>
                <c:pt idx="31">
                  <c:v>3096070.94781889</c:v>
                </c:pt>
                <c:pt idx="32">
                  <c:v>3235394.14047074</c:v>
                </c:pt>
                <c:pt idx="33">
                  <c:v>3380986.87679192</c:v>
                </c:pt>
                <c:pt idx="34">
                  <c:v>3533131.28624756</c:v>
                </c:pt>
                <c:pt idx="35">
                  <c:v>3692122.1941287</c:v>
                </c:pt>
                <c:pt idx="36">
                  <c:v>3858267.69286449</c:v>
                </c:pt>
                <c:pt idx="37">
                  <c:v>4031889.73904339</c:v>
                </c:pt>
                <c:pt idx="38">
                  <c:v>4213324.77730034</c:v>
                </c:pt>
                <c:pt idx="39">
                  <c:v>4402924.39227886</c:v>
                </c:pt>
              </c:numCache>
            </c:numRef>
          </c:val>
          <c:smooth val="1"/>
        </c:ser>
        <c:hiLowLines>
          <c:spPr>
            <a:ln w="0">
              <a:noFill/>
            </a:ln>
          </c:spPr>
        </c:hiLowLines>
        <c:marker val="0"/>
        <c:axId val="27332186"/>
        <c:axId val="49271732"/>
      </c:lineChart>
      <c:catAx>
        <c:axId val="2733218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Age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271732"/>
        <c:crosses val="autoZero"/>
        <c:auto val="1"/>
        <c:lblAlgn val="ctr"/>
        <c:lblOffset val="100"/>
        <c:noMultiLvlLbl val="0"/>
      </c:catAx>
      <c:valAx>
        <c:axId val="492717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Balance ($)</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33218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Worth Trend</a:t>
            </a:r>
          </a:p>
        </c:rich>
      </c:tx>
      <c:overlay val="0"/>
      <c:spPr>
        <a:noFill/>
        <a:ln w="0">
          <a:noFill/>
        </a:ln>
      </c:spPr>
    </c:title>
    <c:autoTitleDeleted val="0"/>
    <c:plotArea>
      <c:lineChart>
        <c:grouping val="standard"/>
        <c:varyColors val="0"/>
        <c:ser>
          <c:idx val="0"/>
          <c:order val="0"/>
          <c:spPr>
            <a:solidFill>
              <a:srgbClr val="c9a227"/>
            </a:solidFill>
            <a:ln w="24840">
              <a:solidFill>
                <a:srgbClr val="c9a22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'07 Net Worth Dashboard'!$C$27</c:f>
              <c:numCache>
                <c:formatCode>\$#,##0;"($"#,##0\);\-</c:formatCode>
                <c:ptCount val="1"/>
                <c:pt idx="0">
                  <c:v>-33200</c:v>
                </c:pt>
              </c:numCache>
            </c:numRef>
          </c:val>
          <c:smooth val="1"/>
        </c:ser>
        <c:ser>
          <c:idx val="1"/>
          <c:order val="1"/>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'07 Net Worth Dashboard'!$D$27</c:f>
              <c:numCache>
                <c:formatCode>\$#,##0;"($"#,##0\);\-</c:formatCode>
                <c:ptCount val="1"/>
                <c:pt idx="0">
                  <c:v>-14500</c:v>
                </c:pt>
              </c:numCache>
            </c:numRef>
          </c:val>
          <c:smooth val="1"/>
        </c:ser>
        <c:ser>
          <c:idx val="2"/>
          <c:order val="2"/>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'07 Net Worth Dashboard'!$E$27</c:f>
              <c:numCache>
                <c:formatCode>\$#,##0;"($"#,##0\);\-</c:formatCode>
                <c:ptCount val="1"/>
                <c:pt idx="0">
                  <c:v>-200</c:v>
                </c:pt>
              </c:numCache>
            </c:numRef>
          </c:val>
          <c:smooth val="1"/>
        </c:ser>
        <c:ser>
          <c:idx val="3"/>
          <c:order val="3"/>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'07 Net Worth Dashboard'!$F$27</c:f>
              <c:numCache>
                <c:formatCode>\$#,##0;"($"#,##0\);\-</c:formatCode>
                <c:ptCount val="1"/>
                <c:pt idx="0">
                  <c:v>26900</c:v>
                </c:pt>
              </c:numCache>
            </c:numRef>
          </c:val>
          <c:smooth val="1"/>
        </c:ser>
        <c:hiLowLines>
          <c:spPr>
            <a:ln w="0">
              <a:noFill/>
            </a:ln>
          </c:spPr>
        </c:hiLowLines>
        <c:marker val="0"/>
        <c:axId val="45830244"/>
        <c:axId val="32329477"/>
      </c:lineChart>
      <c:catAx>
        <c:axId val="458302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329477"/>
        <c:crosses val="autoZero"/>
        <c:auto val="1"/>
        <c:lblAlgn val="ctr"/>
        <c:lblOffset val="100"/>
        <c:noMultiLvlLbl val="0"/>
      </c:catAx>
      <c:valAx>
        <c:axId val="3232947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83024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 Number vs. Projected Net Worth</a:t>
            </a:r>
          </a:p>
        </c:rich>
      </c:tx>
      <c:overlay val="0"/>
      <c:spPr>
        <a:noFill/>
        <a:ln w="0">
          <a:noFill/>
        </a:ln>
      </c:spPr>
    </c:title>
    <c:autoTitleDeleted val="0"/>
    <c:plotArea>
      <c:lineChart>
        <c:grouping val="standard"/>
        <c:varyColors val="0"/>
        <c:ser>
          <c:idx val="0"/>
          <c:order val="0"/>
          <c:tx>
            <c:strRef>
              <c:f>'08 FIRE Timeline Modeler'!F19</c:f>
              <c:strCache>
                <c:ptCount val="1"/>
                <c:pt idx="0">
                  <c:v>Ending Balance</c:v>
                </c:pt>
              </c:strCache>
            </c:strRef>
          </c:tx>
          <c:spPr>
            <a:solidFill>
              <a:srgbClr val="1b2a4a"/>
            </a:solidFill>
            <a:ln w="28440">
              <a:solidFill>
                <a:srgbClr val="1b2a4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'08 FIRE Timeline Modeler'!$B$20:$B$49</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'08 FIRE Timeline Modeler'!$F$20:$F$49</c:f>
              <c:numCache>
                <c:formatCode>\$#,##0;"($"#,##0\);\-</c:formatCode>
                <c:ptCount val="30"/>
                <c:pt idx="0">
                  <c:v>61680.07098</c:v>
                </c:pt>
                <c:pt idx="1">
                  <c:v>63407.18394744</c:v>
                </c:pt>
                <c:pt idx="2">
                  <c:v>65182.6560779683</c:v>
                </c:pt>
                <c:pt idx="3">
                  <c:v>67007.8414281514</c:v>
                </c:pt>
                <c:pt idx="4">
                  <c:v>68884.1319681397</c:v>
                </c:pt>
                <c:pt idx="5">
                  <c:v>70812.9586432476</c:v>
                </c:pt>
                <c:pt idx="6">
                  <c:v>72795.7924652585</c:v>
                </c:pt>
                <c:pt idx="7">
                  <c:v>74834.1456342858</c:v>
                </c:pt>
                <c:pt idx="8">
                  <c:v>76929.5726920458</c:v>
                </c:pt>
                <c:pt idx="9">
                  <c:v>79083.6717074231</c:v>
                </c:pt>
                <c:pt idx="10">
                  <c:v>81298.0854952309</c:v>
                </c:pt>
                <c:pt idx="11">
                  <c:v>83574.5028690974</c:v>
                </c:pt>
                <c:pt idx="12">
                  <c:v>85914.6599294321</c:v>
                </c:pt>
                <c:pt idx="13">
                  <c:v>88320.3413874562</c:v>
                </c:pt>
                <c:pt idx="14">
                  <c:v>90793.381926305</c:v>
                </c:pt>
                <c:pt idx="15">
                  <c:v>93335.6676002416</c:v>
                </c:pt>
                <c:pt idx="16">
                  <c:v>95949.1372730483</c:v>
                </c:pt>
                <c:pt idx="17">
                  <c:v>98635.7840966937</c:v>
                </c:pt>
                <c:pt idx="18">
                  <c:v>101397.657031401</c:v>
                </c:pt>
                <c:pt idx="19">
                  <c:v>104236.86240828</c:v>
                </c:pt>
                <c:pt idx="20">
                  <c:v>107155.565535712</c:v>
                </c:pt>
                <c:pt idx="21">
                  <c:v>110155.992350712</c:v>
                </c:pt>
                <c:pt idx="22">
                  <c:v>113240.431116532</c:v>
                </c:pt>
                <c:pt idx="23">
                  <c:v>116411.234167795</c:v>
                </c:pt>
                <c:pt idx="24">
                  <c:v>119670.819704493</c:v>
                </c:pt>
                <c:pt idx="25">
                  <c:v>123021.673636219</c:v>
                </c:pt>
                <c:pt idx="26">
                  <c:v>126466.351478033</c:v>
                </c:pt>
                <c:pt idx="27">
                  <c:v>130007.480299418</c:v>
                </c:pt>
                <c:pt idx="28">
                  <c:v>133647.760727802</c:v>
                </c:pt>
                <c:pt idx="29">
                  <c:v>137389.96900818</c:v>
                </c:pt>
              </c:numCache>
            </c:numRef>
          </c:val>
          <c:smooth val="1"/>
        </c:ser>
        <c:ser>
          <c:idx val="1"/>
          <c:order val="1"/>
          <c:tx>
            <c:strRef>
              <c:f>'08 FIRE Timeline Modeler'!G19</c:f>
              <c:strCache>
                <c:ptCount val="1"/>
                <c:pt idx="0">
                  <c:v>FI Number (infl. adj.)</c:v>
                </c:pt>
              </c:strCache>
            </c:strRef>
          </c:tx>
          <c:spPr>
            <a:solidFill>
              <a:srgbClr val="c9a227"/>
            </a:solidFill>
            <a:ln w="28440">
              <a:solidFill>
                <a:srgbClr val="c9a22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'08 FIRE Timeline Modeler'!$B$20:$B$49</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'08 FIRE Timeline Modeler'!$G$20:$G$49</c:f>
              <c:numCache>
                <c:formatCode>\$#,##0;"($"#,##0\);\-</c:formatCode>
                <c:ptCount val="30"/>
                <c:pt idx="0">
                  <c:v>1125000</c:v>
                </c:pt>
                <c:pt idx="1">
                  <c:v>1170000</c:v>
                </c:pt>
                <c:pt idx="2">
                  <c:v>1216800</c:v>
                </c:pt>
                <c:pt idx="3">
                  <c:v>1265472</c:v>
                </c:pt>
                <c:pt idx="4">
                  <c:v>1316090.88</c:v>
                </c:pt>
                <c:pt idx="5">
                  <c:v>1368734.5152</c:v>
                </c:pt>
                <c:pt idx="6">
                  <c:v>1423483.895808</c:v>
                </c:pt>
                <c:pt idx="7">
                  <c:v>1480423.25164032</c:v>
                </c:pt>
                <c:pt idx="8">
                  <c:v>1539640.18170593</c:v>
                </c:pt>
                <c:pt idx="9">
                  <c:v>1601225.78897417</c:v>
                </c:pt>
                <c:pt idx="10">
                  <c:v>1665274.82053314</c:v>
                </c:pt>
                <c:pt idx="11">
                  <c:v>1731885.81335446</c:v>
                </c:pt>
                <c:pt idx="12">
                  <c:v>1801161.24588864</c:v>
                </c:pt>
                <c:pt idx="13">
                  <c:v>1873207.69572419</c:v>
                </c:pt>
                <c:pt idx="14">
                  <c:v>1948136.00355315</c:v>
                </c:pt>
                <c:pt idx="15">
                  <c:v>2026061.44369528</c:v>
                </c:pt>
                <c:pt idx="16">
                  <c:v>2107103.90144309</c:v>
                </c:pt>
                <c:pt idx="17">
                  <c:v>2191388.05750082</c:v>
                </c:pt>
                <c:pt idx="18">
                  <c:v>2279043.57980085</c:v>
                </c:pt>
                <c:pt idx="19">
                  <c:v>2370205.32299288</c:v>
                </c:pt>
                <c:pt idx="20">
                  <c:v>2465013.5359126</c:v>
                </c:pt>
                <c:pt idx="21">
                  <c:v>2563614.0773491</c:v>
                </c:pt>
                <c:pt idx="22">
                  <c:v>2666158.64044307</c:v>
                </c:pt>
                <c:pt idx="23">
                  <c:v>2772804.98606079</c:v>
                </c:pt>
                <c:pt idx="24">
                  <c:v>2883717.18550322</c:v>
                </c:pt>
                <c:pt idx="25">
                  <c:v>2999065.87292335</c:v>
                </c:pt>
                <c:pt idx="26">
                  <c:v>3119028.50784028</c:v>
                </c:pt>
                <c:pt idx="27">
                  <c:v>3243789.6481539</c:v>
                </c:pt>
                <c:pt idx="28">
                  <c:v>3373541.23408005</c:v>
                </c:pt>
                <c:pt idx="29">
                  <c:v>3508482.88344325</c:v>
                </c:pt>
              </c:numCache>
            </c:numRef>
          </c:val>
          <c:smooth val="1"/>
        </c:ser>
        <c:hiLowLines>
          <c:spPr>
            <a:ln w="0">
              <a:noFill/>
            </a:ln>
          </c:spPr>
        </c:hiLowLines>
        <c:marker val="0"/>
        <c:axId val="11987037"/>
        <c:axId val="99305187"/>
      </c:lineChart>
      <c:catAx>
        <c:axId val="11987037"/>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305187"/>
        <c:crosses val="autoZero"/>
        <c:auto val="1"/>
        <c:lblAlgn val="ctr"/>
        <c:lblOffset val="100"/>
        <c:noMultiLvlLbl val="0"/>
      </c:catAx>
      <c:valAx>
        <c:axId val="99305187"/>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98703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13-Week Ending Cash Balance</a:t>
            </a:r>
          </a:p>
        </c:rich>
      </c:tx>
      <c:overlay val="0"/>
      <c:spPr>
        <a:noFill/>
        <a:ln w="0">
          <a:noFill/>
        </a:ln>
      </c:spPr>
    </c:title>
    <c:autoTitleDeleted val="0"/>
    <c:plotArea>
      <c:lineChart>
        <c:grouping val="standard"/>
        <c:varyColors val="0"/>
        <c:ser>
          <c:idx val="0"/>
          <c:order val="0"/>
          <c:spPr>
            <a:solidFill>
              <a:srgbClr val="c9a227"/>
            </a:solidFill>
            <a:ln w="24840">
              <a:solidFill>
                <a:srgbClr val="c9a227"/>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Forecast'!$C$27</c:f>
              <c:numCache>
                <c:formatCode>\$#,##0;"($"#,##0\);\-</c:formatCode>
                <c:ptCount val="1"/>
                <c:pt idx="0">
                  <c:v>25000</c:v>
                </c:pt>
              </c:numCache>
            </c:numRef>
          </c:val>
          <c:smooth val="1"/>
        </c:ser>
        <c:ser>
          <c:idx val="1"/>
          <c:order val="1"/>
          <c:spPr>
            <a:solidFill>
              <a:srgbClr val="9d3e3b"/>
            </a:solidFill>
            <a:ln w="28440">
              <a:solidFill>
                <a:srgbClr val="9d3e3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Forecast'!$D$27</c:f>
              <c:numCache>
                <c:formatCode>\$#,##0;"($"#,##0\);\-</c:formatCode>
                <c:ptCount val="1"/>
                <c:pt idx="0">
                  <c:v>25000</c:v>
                </c:pt>
              </c:numCache>
            </c:numRef>
          </c:val>
          <c:smooth val="1"/>
        </c:ser>
        <c:ser>
          <c:idx val="2"/>
          <c:order val="2"/>
          <c:spPr>
            <a:solidFill>
              <a:srgbClr val="7e9945"/>
            </a:solidFill>
            <a:ln w="28440">
              <a:solidFill>
                <a:srgbClr val="7e994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Forecast'!$E$27</c:f>
              <c:numCache>
                <c:formatCode>\$#,##0;"($"#,##0\);\-</c:formatCode>
                <c:ptCount val="1"/>
                <c:pt idx="0">
                  <c:v>25000</c:v>
                </c:pt>
              </c:numCache>
            </c:numRef>
          </c:val>
          <c:smooth val="1"/>
        </c:ser>
        <c:ser>
          <c:idx val="3"/>
          <c:order val="3"/>
          <c:spPr>
            <a:solidFill>
              <a:srgbClr val="674f84"/>
            </a:solidFill>
            <a:ln w="28440">
              <a:solidFill>
                <a:srgbClr val="674f8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Forecast'!$F$27</c:f>
              <c:numCache>
                <c:formatCode>\$#,##0;"($"#,##0\);\-</c:formatCode>
                <c:ptCount val="1"/>
                <c:pt idx="0">
                  <c:v>25000</c:v>
                </c:pt>
              </c:numCache>
            </c:numRef>
          </c:val>
          <c:smooth val="1"/>
        </c:ser>
        <c:ser>
          <c:idx val="4"/>
          <c:order val="4"/>
          <c:spPr>
            <a:solidFill>
              <a:srgbClr val="398ba2"/>
            </a:solidFill>
            <a:ln w="28440">
              <a:solidFill>
                <a:srgbClr val="398ba2"/>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Forecast'!$G$27</c:f>
              <c:numCache>
                <c:formatCode>\$#,##0;"($"#,##0\);\-</c:formatCode>
                <c:ptCount val="1"/>
                <c:pt idx="0">
                  <c:v>25000</c:v>
                </c:pt>
              </c:numCache>
            </c:numRef>
          </c:val>
          <c:smooth val="1"/>
        </c:ser>
        <c:ser>
          <c:idx val="5"/>
          <c:order val="5"/>
          <c:spPr>
            <a:solidFill>
              <a:srgbClr val="cb7934"/>
            </a:solidFill>
            <a:ln w="28440">
              <a:solidFill>
                <a:srgbClr val="cb793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Forecast'!$H$27</c:f>
              <c:numCache>
                <c:formatCode>\$#,##0;"($"#,##0\);\-</c:formatCode>
                <c:ptCount val="1"/>
                <c:pt idx="0">
                  <c:v>25000</c:v>
                </c:pt>
              </c:numCache>
            </c:numRef>
          </c:val>
          <c:smooth val="1"/>
        </c:ser>
        <c:ser>
          <c:idx val="6"/>
          <c:order val="6"/>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Forecast'!$I$27</c:f>
              <c:numCache>
                <c:formatCode>\$#,##0;"($"#,##0\);\-</c:formatCode>
                <c:ptCount val="1"/>
                <c:pt idx="0">
                  <c:v>25000</c:v>
                </c:pt>
              </c:numCache>
            </c:numRef>
          </c:val>
          <c:smooth val="1"/>
        </c:ser>
        <c:ser>
          <c:idx val="7"/>
          <c:order val="7"/>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Forecast'!$J$27</c:f>
              <c:numCache>
                <c:formatCode>\$#,##0;"($"#,##0\);\-</c:formatCode>
                <c:ptCount val="1"/>
                <c:pt idx="0">
                  <c:v>25000</c:v>
                </c:pt>
              </c:numCache>
            </c:numRef>
          </c:val>
          <c:smooth val="1"/>
        </c:ser>
        <c:ser>
          <c:idx val="8"/>
          <c:order val="8"/>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Forecast'!$K$27</c:f>
              <c:numCache>
                <c:formatCode>\$#,##0;"($"#,##0\);\-</c:formatCode>
                <c:ptCount val="1"/>
                <c:pt idx="0">
                  <c:v>25000</c:v>
                </c:pt>
              </c:numCache>
            </c:numRef>
          </c:val>
          <c:smooth val="1"/>
        </c:ser>
        <c:ser>
          <c:idx val="9"/>
          <c:order val="9"/>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Forecast'!$L$27</c:f>
              <c:numCache>
                <c:formatCode>\$#,##0;"($"#,##0\);\-</c:formatCode>
                <c:ptCount val="1"/>
                <c:pt idx="0">
                  <c:v>25000</c:v>
                </c:pt>
              </c:numCache>
            </c:numRef>
          </c:val>
          <c:smooth val="1"/>
        </c:ser>
        <c:ser>
          <c:idx val="10"/>
          <c:order val="10"/>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Forecast'!$M$27</c:f>
              <c:numCache>
                <c:formatCode>\$#,##0;"($"#,##0\);\-</c:formatCode>
                <c:ptCount val="1"/>
                <c:pt idx="0">
                  <c:v>25000</c:v>
                </c:pt>
              </c:numCache>
            </c:numRef>
          </c:val>
          <c:smooth val="1"/>
        </c:ser>
        <c:ser>
          <c:idx val="11"/>
          <c:order val="11"/>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Forecast'!$N$27</c:f>
              <c:numCache>
                <c:formatCode>\$#,##0;"($"#,##0\);\-</c:formatCode>
                <c:ptCount val="1"/>
                <c:pt idx="0">
                  <c:v>25000</c:v>
                </c:pt>
              </c:numCache>
            </c:numRef>
          </c:val>
          <c:smooth val="1"/>
        </c:ser>
        <c:ser>
          <c:idx val="12"/>
          <c:order val="12"/>
          <c:spPr>
            <a:solidFill>
              <a:srgbClr val="a5b5d3"/>
            </a:solidFill>
            <a:ln w="28440">
              <a:solidFill>
                <a:srgbClr val="a5b5d3"/>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'09 Cash Flow Forecast'!$O$27</c:f>
              <c:numCache>
                <c:formatCode>\$#,##0;"($"#,##0\);\-</c:formatCode>
                <c:ptCount val="1"/>
                <c:pt idx="0">
                  <c:v>25000</c:v>
                </c:pt>
              </c:numCache>
            </c:numRef>
          </c:val>
          <c:smooth val="1"/>
        </c:ser>
        <c:hiLowLines>
          <c:spPr>
            <a:ln w="0">
              <a:noFill/>
            </a:ln>
          </c:spPr>
        </c:hiLowLines>
        <c:marker val="0"/>
        <c:axId val="17337076"/>
        <c:axId val="93433869"/>
      </c:lineChart>
      <c:catAx>
        <c:axId val="173370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33869"/>
        <c:crosses val="autoZero"/>
        <c:auto val="1"/>
        <c:lblAlgn val="ctr"/>
        <c:lblOffset val="100"/>
        <c:noMultiLvlLbl val="0"/>
      </c:catAx>
      <c:valAx>
        <c:axId val="9343386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3370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12-Month Cash Runway Projection</a:t>
            </a:r>
          </a:p>
        </c:rich>
      </c:tx>
      <c:overlay val="0"/>
      <c:spPr>
        <a:noFill/>
        <a:ln w="0">
          <a:noFill/>
        </a:ln>
      </c:spPr>
    </c:title>
    <c:autoTitleDeleted val="0"/>
    <c:plotArea>
      <c:lineChart>
        <c:grouping val="standard"/>
        <c:varyColors val="0"/>
        <c:ser>
          <c:idx val="0"/>
          <c:order val="0"/>
          <c:tx>
            <c:strRef>
              <c:f>'10 Runway Calculator'!G18</c:f>
              <c:strCache>
                <c:ptCount val="1"/>
                <c:pt idx="0">
                  <c:v>Ending Cash</c:v>
                </c:pt>
              </c:strCache>
            </c:strRef>
          </c:tx>
          <c:spPr>
            <a:solidFill>
              <a:srgbClr val="1b2a4a"/>
            </a:solidFill>
            <a:ln w="28440">
              <a:solidFill>
                <a:srgbClr val="1b2a4a"/>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 Runway Calculator'!$B$19:$B$30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'10 Runway Calculator'!$G$19:$G$30</c:f>
              <c:numCache>
                <c:formatCode>\$#,##0;"($"#,##0\);\-</c:formatCode>
                <c:ptCount val="12"/>
                <c:pt idx="0">
                  <c:v>11699.97</c:v>
                </c:pt>
                <c:pt idx="1">
                  <c:v>4399.94</c:v>
                </c:pt>
                <c:pt idx="2">
                  <c:v>4399.94</c:v>
                </c:pt>
                <c:pt idx="3">
                  <c:v>4399.94</c:v>
                </c:pt>
                <c:pt idx="4">
                  <c:v>4399.94</c:v>
                </c:pt>
                <c:pt idx="5">
                  <c:v>4399.94</c:v>
                </c:pt>
                <c:pt idx="6">
                  <c:v>4399.94</c:v>
                </c:pt>
                <c:pt idx="7">
                  <c:v>4399.94</c:v>
                </c:pt>
                <c:pt idx="8">
                  <c:v>4399.94</c:v>
                </c:pt>
                <c:pt idx="9">
                  <c:v>4399.94</c:v>
                </c:pt>
                <c:pt idx="10">
                  <c:v>4399.94</c:v>
                </c:pt>
                <c:pt idx="11">
                  <c:v>4399.94</c:v>
                </c:pt>
              </c:numCache>
            </c:numRef>
          </c:val>
          <c:smooth val="1"/>
        </c:ser>
        <c:hiLowLines>
          <c:spPr>
            <a:ln w="0">
              <a:noFill/>
            </a:ln>
          </c:spPr>
        </c:hiLowLines>
        <c:marker val="0"/>
        <c:axId val="28777702"/>
        <c:axId val="50197130"/>
      </c:lineChart>
      <c:catAx>
        <c:axId val="28777702"/>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197130"/>
        <c:crosses val="autoZero"/>
        <c:auto val="1"/>
        <c:lblAlgn val="ctr"/>
        <c:lblOffset val="100"/>
        <c:noMultiLvlLbl val="0"/>
      </c:catAx>
      <c:valAx>
        <c:axId val="50197130"/>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77770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Worth by Entity</a:t>
            </a:r>
          </a:p>
        </c:rich>
      </c:tx>
      <c:overlay val="0"/>
      <c:spPr>
        <a:noFill/>
        <a:ln w="0">
          <a:noFill/>
        </a:ln>
      </c:spPr>
    </c:title>
    <c:autoTitleDeleted val="0"/>
    <c:plotArea>
      <c:pieChart>
        <c:varyColors val="1"/>
        <c:ser>
          <c:idx val="0"/>
          <c:order val="0"/>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Lbls>
            <c:dLbl>
              <c:idx val="0"/>
              <c:txPr>
                <a:bodyPr wrap="none"/>
                <a:lstStyle/>
                <a:p>
                  <a:pPr>
                    <a:defRPr b="0" sz="1000" spc="-1" strike="noStrike">
                      <a:latin typeface="Arial"/>
                    </a:defRPr>
                  </a:pPr>
                </a:p>
              </c:txPr>
              <c:showLegendKey val="0"/>
              <c:showVal val="0"/>
              <c:showCatName val="0"/>
              <c:showSerName val="0"/>
              <c:showPercent val="0"/>
              <c:separator> </c:separator>
            </c:dLbl>
            <c:dLbl>
              <c:idx val="1"/>
              <c:txPr>
                <a:bodyPr wrap="none"/>
                <a:lstStyle/>
                <a:p>
                  <a:pPr>
                    <a:defRPr b="0" sz="1000" spc="-1" strike="noStrike">
                      <a:latin typeface="Arial"/>
                    </a:defRPr>
                  </a:pPr>
                </a:p>
              </c:txPr>
              <c:showLegendKey val="0"/>
              <c:showVal val="0"/>
              <c:showCatName val="0"/>
              <c:showSerName val="0"/>
              <c:showPercent val="0"/>
              <c:separator> </c:separator>
            </c:dLbl>
            <c:dLbl>
              <c:idx val="2"/>
              <c:txPr>
                <a:bodyPr wrap="none"/>
                <a:lstStyle/>
                <a:p>
                  <a:pPr>
                    <a:defRPr b="0" sz="1000" spc="-1" strike="noStrike">
                      <a:latin typeface="Arial"/>
                    </a:defRPr>
                  </a:pPr>
                </a:p>
              </c:txPr>
              <c:showLegendKey val="0"/>
              <c:showVal val="0"/>
              <c:showCatName val="0"/>
              <c:showSerName val="0"/>
              <c:showPercent val="0"/>
              <c:separator> </c:separator>
            </c:dLbl>
            <c:dLbl>
              <c:idx val="3"/>
              <c:txPr>
                <a:bodyPr wrap="none"/>
                <a:lstStyle/>
                <a:p>
                  <a:pPr>
                    <a:defRPr b="0" sz="1000" spc="-1" strike="noStrike">
                      <a:latin typeface="Arial"/>
                    </a:defRPr>
                  </a:pPr>
                </a:p>
              </c:txPr>
              <c:showLegendKey val="0"/>
              <c:showVal val="0"/>
              <c:showCatName val="0"/>
              <c:showSerName val="0"/>
              <c:showPercent val="0"/>
              <c:separator> </c:separator>
            </c:dLbl>
            <c:dLbl>
              <c:idx val="4"/>
              <c:txPr>
                <a:bodyPr wrap="none"/>
                <a:lstStyle/>
                <a:p>
                  <a:pPr>
                    <a:defRPr b="0" sz="1000" spc="-1" strike="noStrike">
                      <a:latin typeface="Arial"/>
                    </a:defRPr>
                  </a:pPr>
                </a:p>
              </c:txPr>
              <c:showLegendKey val="0"/>
              <c:showVal val="0"/>
              <c:showCatName val="0"/>
              <c:showSerName val="0"/>
              <c:showPercent val="0"/>
              <c:separator> </c:separator>
            </c:dLbl>
            <c:dLbl>
              <c:idx val="5"/>
              <c:txPr>
                <a:bodyPr wrap="none"/>
                <a:lstStyle/>
                <a:p>
                  <a:pPr>
                    <a:defRPr b="0" sz="1000" spc="-1" strike="noStrike">
                      <a:latin typeface="Arial"/>
                    </a:defRPr>
                  </a:pPr>
                </a:p>
              </c:txPr>
              <c:showLegendKey val="0"/>
              <c:showVal val="0"/>
              <c:showCatName val="0"/>
              <c:showSerName val="0"/>
              <c:showPercent val="0"/>
              <c:separator> </c:separator>
            </c:dLbl>
            <c:dLbl>
              <c:idx val="6"/>
              <c:txPr>
                <a:bodyPr wrap="none"/>
                <a:lstStyle/>
                <a:p>
                  <a:pPr>
                    <a:defRPr b="0" sz="1000" spc="-1" strike="noStrike">
                      <a:latin typeface="Arial"/>
                    </a:defRPr>
                  </a:pPr>
                </a:p>
              </c:txPr>
              <c:showLegendKey val="0"/>
              <c:showVal val="0"/>
              <c:showCatName val="0"/>
              <c:showSerName val="0"/>
              <c:showPercent val="0"/>
              <c:separator> </c:separator>
            </c:dLbl>
            <c:dLbl>
              <c:idx val="7"/>
              <c:txPr>
                <a:bodyPr wrap="none"/>
                <a:lstStyle/>
                <a:p>
                  <a:pPr>
                    <a:defRPr b="0" sz="1000" spc="-1" strike="noStrike">
                      <a:latin typeface="Arial"/>
                    </a:defRPr>
                  </a:pPr>
                </a:p>
              </c:txPr>
              <c:showLegendKey val="0"/>
              <c:showVal val="0"/>
              <c:showCatName val="0"/>
              <c:showSerName val="0"/>
              <c:showPercent val="0"/>
              <c:separator> </c:separator>
            </c:dLbl>
            <c:txPr>
              <a:bodyPr wrap="none"/>
              <a:lstStyle/>
              <a:p>
                <a:pPr>
                  <a:defRPr b="0" sz="1000" spc="-1" strike="noStrike">
                    <a:latin typeface="Arial"/>
                  </a:defRPr>
                </a:pPr>
              </a:p>
            </c:txPr>
            <c:showLegendKey val="0"/>
            <c:showVal val="0"/>
            <c:showCatName val="0"/>
            <c:showSerName val="0"/>
            <c:showPercent val="0"/>
            <c:separator> </c:separator>
            <c:showLeaderLines val="1"/>
          </c:dLbls>
          <c:cat>
            <c:strRef>
              <c:f>'13 Multi-Entity Tracker'!$B$7:$B$14</c:f>
              <c:strCache>
                <c:ptCount val="8"/>
                <c:pt idx="0">
                  <c:v>Personal — Checking/Savings</c:v>
                </c:pt>
                <c:pt idx="1">
                  <c:v>Personal — Brokerage</c:v>
                </c:pt>
                <c:pt idx="2">
                  <c:v>Robinhood — Roth IRA</c:v>
                </c:pt>
                <c:pt idx="3">
                  <c:v>Robinhood — Agentic Trading Acct (#729316372)</c:v>
                </c:pt>
                <c:pt idx="4">
                  <c:v>Revocable Living Trust</c:v>
                </c:pt>
                <c:pt idx="5">
                  <c:v>LLC — OSDS / Aldgate &amp; Co. Holding Entity</c:v>
                </c:pt>
                <c:pt idx="6">
                  <c:v>LLC — Ledger &amp; Co. Holding Entity</c:v>
                </c:pt>
                <c:pt idx="7">
                  <c:v>Real Estate Holding (primary residence equity)</c:v>
                </c:pt>
              </c:strCache>
            </c:strRef>
          </c:cat>
          <c:val>
            <c:numRef>
              <c:f>'13 Multi-Entity Tracker'!$G$7:$G$14</c:f>
              <c:numCache>
                <c:formatCode>\$#,##0;"($"#,##0\);\-</c:formatCode>
                <c:ptCount val="8"/>
                <c:pt idx="0">
                  <c:v>25000</c:v>
                </c:pt>
                <c:pt idx="1">
                  <c:v>65000</c:v>
                </c:pt>
                <c:pt idx="2">
                  <c:v>42000</c:v>
                </c:pt>
                <c:pt idx="3">
                  <c:v>18000</c:v>
                </c:pt>
                <c:pt idx="4">
                  <c:v>120000</c:v>
                </c:pt>
                <c:pt idx="5">
                  <c:v>35000</c:v>
                </c:pt>
                <c:pt idx="6">
                  <c:v>28000</c:v>
                </c:pt>
                <c:pt idx="7">
                  <c:v>98000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Year 3 Net Income by Scenario</a:t>
            </a:r>
          </a:p>
        </c:rich>
      </c:tx>
      <c:overlay val="0"/>
      <c:spPr>
        <a:noFill/>
        <a:ln w="0">
          <a:noFill/>
        </a:ln>
      </c:spPr>
    </c:title>
    <c:autoTitleDeleted val="0"/>
    <c:plotArea>
      <c:barChart>
        <c:barDir val="col"/>
        <c:grouping val="clustered"/>
        <c:varyColors val="0"/>
        <c:ser>
          <c:idx val="0"/>
          <c:order val="0"/>
          <c:tx>
            <c:strRef>
              <c:f>'14 Scenario Engine'!E32</c:f>
              <c:strCache>
                <c:ptCount val="1"/>
                <c:pt idx="0">
                  <c:v>Year 3 Net Income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 Scenario Engine'!$B$33:$B$35</c:f>
              <c:strCache>
                <c:ptCount val="3"/>
                <c:pt idx="0">
                  <c:v>Bear</c:v>
                </c:pt>
                <c:pt idx="1">
                  <c:v>Base</c:v>
                </c:pt>
                <c:pt idx="2">
                  <c:v>Bull</c:v>
                </c:pt>
              </c:strCache>
            </c:strRef>
          </c:cat>
          <c:val>
            <c:numRef>
              <c:f>'14 Scenario Engine'!$E$33:$E$35</c:f>
              <c:numCache>
                <c:formatCode>\$#,##0;"($"#,##0\);\-</c:formatCode>
                <c:ptCount val="3"/>
                <c:pt idx="0">
                  <c:v>14208.72</c:v>
                </c:pt>
                <c:pt idx="1">
                  <c:v>46208.76</c:v>
                </c:pt>
                <c:pt idx="2">
                  <c:v>95806.46</c:v>
                </c:pt>
              </c:numCache>
            </c:numRef>
          </c:val>
        </c:ser>
        <c:gapWidth val="150"/>
        <c:overlap val="0"/>
        <c:axId val="8853176"/>
        <c:axId val="92951169"/>
      </c:barChart>
      <c:catAx>
        <c:axId val="88531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951169"/>
        <c:crosses val="autoZero"/>
        <c:auto val="1"/>
        <c:lblAlgn val="ctr"/>
        <c:lblOffset val="100"/>
        <c:noMultiLvlLbl val="0"/>
      </c:catAx>
      <c:valAx>
        <c:axId val="92951169"/>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5317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Valuation by Method</a:t>
            </a:r>
          </a:p>
        </c:rich>
      </c:tx>
      <c:overlay val="0"/>
      <c:spPr>
        <a:noFill/>
        <a:ln w="0">
          <a:noFill/>
        </a:ln>
      </c:spPr>
    </c:title>
    <c:autoTitleDeleted val="0"/>
    <c:plotArea>
      <c:barChart>
        <c:barDir val="col"/>
        <c:grouping val="clustered"/>
        <c:varyColors val="0"/>
        <c:ser>
          <c:idx val="0"/>
          <c:order val="0"/>
          <c:spPr>
            <a:solidFill>
              <a:srgbClr val="1b2a4a"/>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'15 Valuation Framework'!$B$42:$B$44</c:f>
              <c:strCache>
                <c:ptCount val="3"/>
                <c:pt idx="0">
                  <c:v>DCF (Discounted Cash Flow)</c:v>
                </c:pt>
                <c:pt idx="1">
                  <c:v>Comparable — Revenue Multiple</c:v>
                </c:pt>
                <c:pt idx="2">
                  <c:v>Comparable — EBITDA Multiple</c:v>
                </c:pt>
              </c:strCache>
            </c:strRef>
          </c:cat>
          <c:val>
            <c:numRef>
              <c:f>'15 Valuation Framework'!$E$42:$E$44</c:f>
              <c:numCache>
                <c:formatCode>\$#,##0;"($"#,##0\);\-</c:formatCode>
                <c:ptCount val="3"/>
                <c:pt idx="0">
                  <c:v>619251.412216491</c:v>
                </c:pt>
                <c:pt idx="1">
                  <c:v>499905</c:v>
                </c:pt>
                <c:pt idx="2">
                  <c:v>555716.1</c:v>
                </c:pt>
              </c:numCache>
            </c:numRef>
          </c:val>
        </c:ser>
        <c:gapWidth val="150"/>
        <c:overlap val="0"/>
        <c:axId val="83184387"/>
        <c:axId val="40505021"/>
      </c:barChart>
      <c:catAx>
        <c:axId val="831843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505021"/>
        <c:crosses val="autoZero"/>
        <c:auto val="1"/>
        <c:lblAlgn val="ctr"/>
        <c:lblOffset val="100"/>
        <c:noMultiLvlLbl val="0"/>
      </c:catAx>
      <c:valAx>
        <c:axId val="40505021"/>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18438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_rels/drawing7.xml.rels><?xml version="1.0" encoding="UTF-8"?>
<Relationships xmlns="http://schemas.openxmlformats.org/package/2006/relationships"><Relationship Id="rId1" Type="http://schemas.openxmlformats.org/officeDocument/2006/relationships/chart" Target="../charts/chart7.xml"/>
</Relationships>
</file>

<file path=xl/drawings/_rels/drawing8.xml.rels><?xml version="1.0" encoding="UTF-8"?>
<Relationships xmlns="http://schemas.openxmlformats.org/package/2006/relationships"><Relationship Id="rId1" Type="http://schemas.openxmlformats.org/officeDocument/2006/relationships/chart" Target="../charts/chart8.xml"/>
</Relationships>
</file>

<file path=xl/drawings/_rels/drawing9.xml.rels><?xml version="1.0" encoding="UTF-8"?>
<Relationships xmlns="http://schemas.openxmlformats.org/package/2006/relationships"><Relationship Id="rId1" Type="http://schemas.openxmlformats.org/officeDocument/2006/relationships/chart" Target="../charts/chart9.xml"/>
</Relationships>
</file>

<file path=xl/drawings/_rels/drawing10.xml.rels><?xml version="1.0" encoding="UTF-8"?>
<Relationships xmlns="http://schemas.openxmlformats.org/package/2006/relationships"><Relationship Id="rId1"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64</xdr:row>
      <xdr:rowOff>0</xdr:rowOff>
    </xdr:from>
    <xdr:to>
      <xdr:col>8</xdr:col>
      <xdr:colOff>589320</xdr:colOff>
      <xdr:row>79</xdr:row>
      <xdr:rowOff>22320</xdr:rowOff>
    </xdr:to>
    <xdr:graphicFrame>
      <xdr:nvGraphicFramePr>
        <xdr:cNvPr id="0" name="Chart 1"/>
        <xdr:cNvGraphicFramePr/>
      </xdr:nvGraphicFramePr>
      <xdr:xfrm>
        <a:off x="141120" y="12525480"/>
        <a:ext cx="79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14</xdr:row>
      <xdr:rowOff>78120</xdr:rowOff>
    </xdr:from>
    <xdr:to>
      <xdr:col>12</xdr:col>
      <xdr:colOff>433080</xdr:colOff>
      <xdr:row>26</xdr:row>
      <xdr:rowOff>121320</xdr:rowOff>
    </xdr:to>
    <xdr:graphicFrame>
      <xdr:nvGraphicFramePr>
        <xdr:cNvPr id="1" name="Chart 1"/>
        <xdr:cNvGraphicFramePr/>
      </xdr:nvGraphicFramePr>
      <xdr:xfrm>
        <a:off x="6625440" y="3076560"/>
        <a:ext cx="503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70</xdr:row>
      <xdr:rowOff>0</xdr:rowOff>
    </xdr:from>
    <xdr:to>
      <xdr:col>7</xdr:col>
      <xdr:colOff>448200</xdr:colOff>
      <xdr:row>87</xdr:row>
      <xdr:rowOff>1080</xdr:rowOff>
    </xdr:to>
    <xdr:graphicFrame>
      <xdr:nvGraphicFramePr>
        <xdr:cNvPr id="2" name="Chart 1"/>
        <xdr:cNvGraphicFramePr/>
      </xdr:nvGraphicFramePr>
      <xdr:xfrm>
        <a:off x="141120" y="1410660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30</xdr:row>
      <xdr:rowOff>0</xdr:rowOff>
    </xdr:from>
    <xdr:to>
      <xdr:col>6</xdr:col>
      <xdr:colOff>715320</xdr:colOff>
      <xdr:row>47</xdr:row>
      <xdr:rowOff>1080</xdr:rowOff>
    </xdr:to>
    <xdr:graphicFrame>
      <xdr:nvGraphicFramePr>
        <xdr:cNvPr id="3" name="Chart 1"/>
        <xdr:cNvGraphicFramePr/>
      </xdr:nvGraphicFramePr>
      <xdr:xfrm>
        <a:off x="141120" y="604836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54</xdr:row>
      <xdr:rowOff>0</xdr:rowOff>
    </xdr:from>
    <xdr:to>
      <xdr:col>7</xdr:col>
      <xdr:colOff>166320</xdr:colOff>
      <xdr:row>71</xdr:row>
      <xdr:rowOff>1080</xdr:rowOff>
    </xdr:to>
    <xdr:graphicFrame>
      <xdr:nvGraphicFramePr>
        <xdr:cNvPr id="4" name="Chart 1"/>
        <xdr:cNvGraphicFramePr/>
      </xdr:nvGraphicFramePr>
      <xdr:xfrm>
        <a:off x="141120" y="11058480"/>
        <a:ext cx="791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29</xdr:row>
      <xdr:rowOff>0</xdr:rowOff>
    </xdr:from>
    <xdr:to>
      <xdr:col>10</xdr:col>
      <xdr:colOff>604440</xdr:colOff>
      <xdr:row>46</xdr:row>
      <xdr:rowOff>1080</xdr:rowOff>
    </xdr:to>
    <xdr:graphicFrame>
      <xdr:nvGraphicFramePr>
        <xdr:cNvPr id="5" name="Chart 1"/>
        <xdr:cNvGraphicFramePr/>
      </xdr:nvGraphicFramePr>
      <xdr:xfrm>
        <a:off x="141120" y="585792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33</xdr:row>
      <xdr:rowOff>0</xdr:rowOff>
    </xdr:from>
    <xdr:to>
      <xdr:col>6</xdr:col>
      <xdr:colOff>715320</xdr:colOff>
      <xdr:row>50</xdr:row>
      <xdr:rowOff>1080</xdr:rowOff>
    </xdr:to>
    <xdr:graphicFrame>
      <xdr:nvGraphicFramePr>
        <xdr:cNvPr id="6" name="Chart 1"/>
        <xdr:cNvGraphicFramePr/>
      </xdr:nvGraphicFramePr>
      <xdr:xfrm>
        <a:off x="141120" y="700092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31</xdr:row>
      <xdr:rowOff>78120</xdr:rowOff>
    </xdr:from>
    <xdr:to>
      <xdr:col>4</xdr:col>
      <xdr:colOff>669600</xdr:colOff>
      <xdr:row>49</xdr:row>
      <xdr:rowOff>248760</xdr:rowOff>
    </xdr:to>
    <xdr:graphicFrame>
      <xdr:nvGraphicFramePr>
        <xdr:cNvPr id="7" name="Chart 1"/>
        <xdr:cNvGraphicFramePr/>
      </xdr:nvGraphicFramePr>
      <xdr:xfrm>
        <a:off x="141120" y="6429240"/>
        <a:ext cx="50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34</xdr:row>
      <xdr:rowOff>175320</xdr:rowOff>
    </xdr:from>
    <xdr:to>
      <xdr:col>5</xdr:col>
      <xdr:colOff>332280</xdr:colOff>
      <xdr:row>50</xdr:row>
      <xdr:rowOff>366840</xdr:rowOff>
    </xdr:to>
    <xdr:graphicFrame>
      <xdr:nvGraphicFramePr>
        <xdr:cNvPr id="8" name="Chart 1"/>
        <xdr:cNvGraphicFramePr/>
      </xdr:nvGraphicFramePr>
      <xdr:xfrm>
        <a:off x="141120" y="724860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43</xdr:row>
      <xdr:rowOff>120600</xdr:rowOff>
    </xdr:from>
    <xdr:to>
      <xdr:col>5</xdr:col>
      <xdr:colOff>262080</xdr:colOff>
      <xdr:row>60</xdr:row>
      <xdr:rowOff>121680</xdr:rowOff>
    </xdr:to>
    <xdr:graphicFrame>
      <xdr:nvGraphicFramePr>
        <xdr:cNvPr id="9" name="Chart 1"/>
        <xdr:cNvGraphicFramePr/>
      </xdr:nvGraphicFramePr>
      <xdr:xfrm>
        <a:off x="141120" y="9153360"/>
        <a:ext cx="57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4.xml.rels><?xml version="1.0" encoding="UTF-8"?>
<Relationships xmlns="http://schemas.openxmlformats.org/package/2006/relationships"><Relationship Id="rId1" Type="http://schemas.openxmlformats.org/officeDocument/2006/relationships/drawing" Target="../drawings/drawing8.xml"/>
</Relationships>
</file>

<file path=xl/worksheets/_rels/sheet15.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G3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7" min="2" style="0" width="22"/>
    <col collapsed="false" customWidth="true" hidden="false" outlineLevel="0" max="8" min="8" style="0" width="3"/>
  </cols>
  <sheetData>
    <row r="3" customFormat="false" ht="33.85" hidden="false" customHeight="false" outlineLevel="0" collapsed="false">
      <c r="B3" s="1" t="s">
        <v>0</v>
      </c>
      <c r="C3" s="1"/>
      <c r="D3" s="1"/>
      <c r="E3" s="1"/>
      <c r="F3" s="1"/>
      <c r="G3" s="1"/>
    </row>
    <row r="4" customFormat="false" ht="19.7" hidden="false" customHeight="false" outlineLevel="0" collapsed="false">
      <c r="B4" s="2" t="s">
        <v>1</v>
      </c>
      <c r="C4" s="2"/>
      <c r="D4" s="2"/>
      <c r="E4" s="2"/>
      <c r="F4" s="2"/>
      <c r="G4" s="2"/>
    </row>
    <row r="6" customFormat="false" ht="25.5" hidden="false" customHeight="true" outlineLevel="0" collapsed="false">
      <c r="B6" s="3" t="s">
        <v>2</v>
      </c>
      <c r="C6" s="3"/>
      <c r="D6" s="3"/>
      <c r="E6" s="3"/>
      <c r="F6" s="3"/>
      <c r="G6" s="3"/>
    </row>
    <row r="8" customFormat="false" ht="15" hidden="false" customHeight="false" outlineLevel="0" collapsed="false">
      <c r="B8" s="4" t="s">
        <v>3</v>
      </c>
      <c r="C8" s="4"/>
      <c r="D8" s="4"/>
      <c r="E8" s="4"/>
      <c r="F8" s="4"/>
      <c r="G8" s="4"/>
    </row>
    <row r="11" customFormat="false" ht="15" hidden="false" customHeight="false" outlineLevel="0" collapsed="false">
      <c r="B11" s="5" t="s">
        <v>4</v>
      </c>
      <c r="C11" s="5"/>
      <c r="D11" s="5"/>
      <c r="E11" s="5"/>
      <c r="F11" s="5"/>
      <c r="G11" s="5"/>
    </row>
    <row r="13" customFormat="false" ht="18" hidden="false" customHeight="true" outlineLevel="0" collapsed="false">
      <c r="B13" s="6" t="s">
        <v>5</v>
      </c>
      <c r="C13" s="6"/>
      <c r="D13" s="7" t="s">
        <v>6</v>
      </c>
      <c r="E13" s="7"/>
      <c r="F13" s="7"/>
      <c r="G13" s="7"/>
    </row>
    <row r="14" customFormat="false" ht="18" hidden="false" customHeight="true" outlineLevel="0" collapsed="false">
      <c r="B14" s="6" t="s">
        <v>7</v>
      </c>
      <c r="C14" s="6"/>
      <c r="D14" s="7" t="s">
        <v>8</v>
      </c>
      <c r="E14" s="7"/>
      <c r="F14" s="7"/>
      <c r="G14" s="7"/>
    </row>
    <row r="15" customFormat="false" ht="18" hidden="false" customHeight="true" outlineLevel="0" collapsed="false">
      <c r="B15" s="6" t="s">
        <v>9</v>
      </c>
      <c r="C15" s="6"/>
      <c r="D15" s="7" t="s">
        <v>10</v>
      </c>
      <c r="E15" s="7"/>
      <c r="F15" s="7"/>
      <c r="G15" s="7"/>
    </row>
    <row r="16" customFormat="false" ht="18" hidden="false" customHeight="true" outlineLevel="0" collapsed="false">
      <c r="B16" s="6" t="s">
        <v>11</v>
      </c>
      <c r="C16" s="6"/>
      <c r="D16" s="7" t="s">
        <v>12</v>
      </c>
      <c r="E16" s="7"/>
      <c r="F16" s="7"/>
      <c r="G16" s="7"/>
    </row>
    <row r="17" customFormat="false" ht="18" hidden="false" customHeight="true" outlineLevel="0" collapsed="false">
      <c r="B17" s="6" t="s">
        <v>13</v>
      </c>
      <c r="C17" s="6"/>
      <c r="D17" s="7" t="s">
        <v>14</v>
      </c>
      <c r="E17" s="7"/>
      <c r="F17" s="7"/>
      <c r="G17" s="7"/>
    </row>
    <row r="18" customFormat="false" ht="18" hidden="false" customHeight="true" outlineLevel="0" collapsed="false">
      <c r="B18" s="6" t="s">
        <v>15</v>
      </c>
      <c r="C18" s="6"/>
      <c r="D18" s="7" t="s">
        <v>16</v>
      </c>
      <c r="E18" s="7"/>
      <c r="F18" s="7"/>
      <c r="G18" s="7"/>
    </row>
    <row r="19" customFormat="false" ht="18" hidden="false" customHeight="true" outlineLevel="0" collapsed="false">
      <c r="B19" s="6" t="s">
        <v>17</v>
      </c>
      <c r="C19" s="6"/>
      <c r="D19" s="7" t="s">
        <v>18</v>
      </c>
      <c r="E19" s="7"/>
      <c r="F19" s="7"/>
      <c r="G19" s="7"/>
    </row>
    <row r="20" customFormat="false" ht="18" hidden="false" customHeight="true" outlineLevel="0" collapsed="false">
      <c r="B20" s="6" t="s">
        <v>19</v>
      </c>
      <c r="C20" s="6"/>
      <c r="D20" s="7" t="s">
        <v>20</v>
      </c>
      <c r="E20" s="7"/>
      <c r="F20" s="7"/>
      <c r="G20" s="7"/>
    </row>
    <row r="21" customFormat="false" ht="18" hidden="false" customHeight="true" outlineLevel="0" collapsed="false">
      <c r="B21" s="6" t="s">
        <v>21</v>
      </c>
      <c r="C21" s="6"/>
      <c r="D21" s="7" t="s">
        <v>22</v>
      </c>
      <c r="E21" s="7"/>
      <c r="F21" s="7"/>
      <c r="G21" s="7"/>
    </row>
    <row r="22" customFormat="false" ht="18" hidden="false" customHeight="true" outlineLevel="0" collapsed="false">
      <c r="B22" s="6" t="s">
        <v>23</v>
      </c>
      <c r="C22" s="6"/>
      <c r="D22" s="7" t="s">
        <v>24</v>
      </c>
      <c r="E22" s="7"/>
      <c r="F22" s="7"/>
      <c r="G22" s="7"/>
    </row>
    <row r="23" customFormat="false" ht="18" hidden="false" customHeight="true" outlineLevel="0" collapsed="false">
      <c r="B23" s="6" t="s">
        <v>25</v>
      </c>
      <c r="C23" s="6"/>
      <c r="D23" s="7" t="s">
        <v>26</v>
      </c>
      <c r="E23" s="7"/>
      <c r="F23" s="7"/>
      <c r="G23" s="7"/>
    </row>
    <row r="24" customFormat="false" ht="18" hidden="false" customHeight="true" outlineLevel="0" collapsed="false">
      <c r="B24" s="6" t="s">
        <v>27</v>
      </c>
      <c r="C24" s="6"/>
      <c r="D24" s="7" t="s">
        <v>28</v>
      </c>
      <c r="E24" s="7"/>
      <c r="F24" s="7"/>
      <c r="G24" s="7"/>
    </row>
    <row r="25" customFormat="false" ht="18" hidden="false" customHeight="true" outlineLevel="0" collapsed="false">
      <c r="B25" s="6" t="s">
        <v>29</v>
      </c>
      <c r="C25" s="6"/>
      <c r="D25" s="7" t="s">
        <v>30</v>
      </c>
      <c r="E25" s="7"/>
      <c r="F25" s="7"/>
      <c r="G25" s="7"/>
    </row>
    <row r="26" customFormat="false" ht="18" hidden="false" customHeight="true" outlineLevel="0" collapsed="false">
      <c r="B26" s="6" t="s">
        <v>31</v>
      </c>
      <c r="C26" s="6"/>
      <c r="D26" s="7" t="s">
        <v>32</v>
      </c>
      <c r="E26" s="7"/>
      <c r="F26" s="7"/>
      <c r="G26" s="7"/>
    </row>
    <row r="27" customFormat="false" ht="18" hidden="false" customHeight="true" outlineLevel="0" collapsed="false">
      <c r="B27" s="6" t="s">
        <v>33</v>
      </c>
      <c r="C27" s="6"/>
      <c r="D27" s="7" t="s">
        <v>34</v>
      </c>
      <c r="E27" s="7"/>
      <c r="F27" s="7"/>
      <c r="G27" s="7"/>
    </row>
    <row r="28" customFormat="false" ht="18" hidden="false" customHeight="true" outlineLevel="0" collapsed="false">
      <c r="B28" s="6" t="s">
        <v>35</v>
      </c>
      <c r="C28" s="6"/>
      <c r="D28" s="7" t="s">
        <v>36</v>
      </c>
      <c r="E28" s="7"/>
      <c r="F28" s="7"/>
      <c r="G28" s="7"/>
    </row>
    <row r="31" customFormat="false" ht="19.5" hidden="false" customHeight="true" outlineLevel="0" collapsed="false">
      <c r="B31" s="8" t="s">
        <v>37</v>
      </c>
      <c r="C31" s="8"/>
      <c r="D31" s="8"/>
      <c r="E31" s="8"/>
      <c r="F31" s="8"/>
      <c r="G31" s="8"/>
    </row>
    <row r="32" customFormat="false" ht="25.5" hidden="false" customHeight="true" outlineLevel="0" collapsed="false">
      <c r="B32" s="9" t="s">
        <v>38</v>
      </c>
      <c r="C32" s="9"/>
      <c r="D32" s="9"/>
      <c r="E32" s="9"/>
      <c r="F32" s="9"/>
      <c r="G32" s="9"/>
    </row>
    <row r="33" customFormat="false" ht="25.5" hidden="false" customHeight="true" outlineLevel="0" collapsed="false">
      <c r="B33" s="9" t="s">
        <v>39</v>
      </c>
      <c r="C33" s="9"/>
      <c r="D33" s="9"/>
      <c r="E33" s="9"/>
      <c r="F33" s="9"/>
      <c r="G33" s="9"/>
    </row>
    <row r="34" customFormat="false" ht="25.5" hidden="false" customHeight="true" outlineLevel="0" collapsed="false">
      <c r="B34" s="9" t="s">
        <v>40</v>
      </c>
      <c r="C34" s="9"/>
      <c r="D34" s="9"/>
      <c r="E34" s="9"/>
      <c r="F34" s="9"/>
      <c r="G34" s="9"/>
    </row>
    <row r="35" customFormat="false" ht="25.5" hidden="false" customHeight="true" outlineLevel="0" collapsed="false">
      <c r="B35" s="9" t="s">
        <v>41</v>
      </c>
      <c r="C35" s="9"/>
      <c r="D35" s="9"/>
      <c r="E35" s="9"/>
      <c r="F35" s="9"/>
      <c r="G35" s="9"/>
    </row>
    <row r="36" customFormat="false" ht="25.5" hidden="false" customHeight="true" outlineLevel="0" collapsed="false">
      <c r="B36" s="9" t="s">
        <v>42</v>
      </c>
      <c r="C36" s="9"/>
      <c r="D36" s="9"/>
      <c r="E36" s="9"/>
      <c r="F36" s="9"/>
      <c r="G36" s="9"/>
    </row>
    <row r="38" customFormat="false" ht="15" hidden="false" customHeight="false" outlineLevel="0" collapsed="false">
      <c r="B38" s="10" t="s">
        <v>43</v>
      </c>
      <c r="C38" s="10"/>
      <c r="D38" s="10"/>
      <c r="E38" s="10"/>
      <c r="F38" s="10"/>
      <c r="G38" s="10"/>
    </row>
  </sheetData>
  <mergeCells count="44">
    <mergeCell ref="B3:G3"/>
    <mergeCell ref="B4:G4"/>
    <mergeCell ref="B6:G6"/>
    <mergeCell ref="B8:G8"/>
    <mergeCell ref="B11:G11"/>
    <mergeCell ref="B13:C13"/>
    <mergeCell ref="D13:G13"/>
    <mergeCell ref="B14:C14"/>
    <mergeCell ref="D14:G14"/>
    <mergeCell ref="B15:C15"/>
    <mergeCell ref="D15:G15"/>
    <mergeCell ref="B16:C16"/>
    <mergeCell ref="D16:G16"/>
    <mergeCell ref="B17:C17"/>
    <mergeCell ref="D17:G17"/>
    <mergeCell ref="B18:C18"/>
    <mergeCell ref="D18:G18"/>
    <mergeCell ref="B19:C19"/>
    <mergeCell ref="D19:G19"/>
    <mergeCell ref="B20:C20"/>
    <mergeCell ref="D20:G20"/>
    <mergeCell ref="B21:C21"/>
    <mergeCell ref="D21:G21"/>
    <mergeCell ref="B22:C22"/>
    <mergeCell ref="D22:G22"/>
    <mergeCell ref="B23:C23"/>
    <mergeCell ref="D23:G23"/>
    <mergeCell ref="B24:C24"/>
    <mergeCell ref="D24:G24"/>
    <mergeCell ref="B25:C25"/>
    <mergeCell ref="D25:G25"/>
    <mergeCell ref="B26:C26"/>
    <mergeCell ref="D26:G26"/>
    <mergeCell ref="B27:C27"/>
    <mergeCell ref="D27:G27"/>
    <mergeCell ref="B28:C28"/>
    <mergeCell ref="D28:G28"/>
    <mergeCell ref="B31:G31"/>
    <mergeCell ref="B32:G32"/>
    <mergeCell ref="B33:G33"/>
    <mergeCell ref="B34:G34"/>
    <mergeCell ref="B35:G35"/>
    <mergeCell ref="B36:G36"/>
    <mergeCell ref="B38:G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14" min="3" style="0" width="13"/>
    <col collapsed="false" customWidth="true" hidden="false" outlineLevel="0" max="15" min="15" style="0" width="14"/>
  </cols>
  <sheetData>
    <row r="2" customFormat="false" ht="27.75" hidden="false" customHeight="true" outlineLevel="0" collapsed="false">
      <c r="B2" s="11" t="s">
        <v>44</v>
      </c>
      <c r="C2" s="11"/>
      <c r="D2" s="11"/>
      <c r="E2" s="11"/>
      <c r="F2" s="11"/>
      <c r="G2" s="11"/>
      <c r="H2" s="11"/>
      <c r="I2" s="11"/>
      <c r="J2" s="11"/>
      <c r="K2" s="11"/>
      <c r="L2" s="11"/>
      <c r="M2" s="11"/>
      <c r="N2" s="11"/>
      <c r="O2" s="11"/>
    </row>
    <row r="3" customFormat="false" ht="15" hidden="false" customHeight="false" outlineLevel="0" collapsed="false">
      <c r="B3" s="12" t="s">
        <v>6</v>
      </c>
      <c r="C3" s="12"/>
      <c r="D3" s="12"/>
      <c r="E3" s="12"/>
      <c r="F3" s="12"/>
      <c r="G3" s="12"/>
      <c r="H3" s="12"/>
      <c r="I3" s="12"/>
      <c r="J3" s="12"/>
      <c r="K3" s="12"/>
      <c r="L3" s="12"/>
      <c r="M3" s="12"/>
      <c r="N3" s="12"/>
      <c r="O3" s="12"/>
    </row>
    <row r="5" customFormat="false" ht="19.5" hidden="false" customHeight="true" outlineLevel="0" collapsed="false">
      <c r="B5" s="13" t="s">
        <v>45</v>
      </c>
      <c r="C5" s="13"/>
      <c r="D5" s="13"/>
      <c r="E5" s="13"/>
      <c r="F5" s="13"/>
      <c r="G5" s="13"/>
      <c r="H5" s="13"/>
      <c r="I5" s="13"/>
      <c r="J5" s="13"/>
      <c r="K5" s="13"/>
      <c r="L5" s="13"/>
      <c r="M5" s="13"/>
      <c r="N5" s="13"/>
      <c r="O5" s="13"/>
    </row>
    <row r="6" customFormat="false" ht="15" hidden="false" customHeight="false" outlineLevel="0" collapsed="false">
      <c r="B6" s="14" t="s">
        <v>46</v>
      </c>
      <c r="C6" s="15" t="s">
        <v>47</v>
      </c>
      <c r="D6" s="15" t="s">
        <v>48</v>
      </c>
      <c r="E6" s="15" t="s">
        <v>49</v>
      </c>
      <c r="F6" s="15" t="s">
        <v>50</v>
      </c>
      <c r="G6" s="15" t="s">
        <v>51</v>
      </c>
      <c r="H6" s="15" t="s">
        <v>52</v>
      </c>
      <c r="I6" s="15" t="s">
        <v>53</v>
      </c>
      <c r="J6" s="15" t="s">
        <v>54</v>
      </c>
      <c r="K6" s="15" t="s">
        <v>55</v>
      </c>
      <c r="L6" s="15" t="s">
        <v>56</v>
      </c>
      <c r="M6" s="15" t="s">
        <v>57</v>
      </c>
      <c r="N6" s="15" t="s">
        <v>58</v>
      </c>
      <c r="O6" s="15" t="s">
        <v>59</v>
      </c>
    </row>
    <row r="7" customFormat="false" ht="15" hidden="false" customHeight="false" outlineLevel="0" collapsed="false">
      <c r="B7" s="16" t="s">
        <v>60</v>
      </c>
      <c r="C7" s="17" t="n">
        <v>0</v>
      </c>
      <c r="D7" s="17" t="n">
        <v>0</v>
      </c>
      <c r="E7" s="17" t="n">
        <v>0</v>
      </c>
      <c r="F7" s="17" t="n">
        <v>0</v>
      </c>
      <c r="G7" s="17" t="n">
        <v>0</v>
      </c>
      <c r="H7" s="17" t="n">
        <v>0</v>
      </c>
      <c r="I7" s="17" t="n">
        <v>0</v>
      </c>
      <c r="J7" s="17" t="n">
        <v>0</v>
      </c>
      <c r="K7" s="17" t="n">
        <v>0</v>
      </c>
      <c r="L7" s="17" t="n">
        <v>0</v>
      </c>
      <c r="M7" s="17" t="n">
        <v>0</v>
      </c>
      <c r="N7" s="17" t="n">
        <v>0</v>
      </c>
      <c r="O7" s="18" t="n">
        <f aca="false">SUM(C7:N7)</f>
        <v>0</v>
      </c>
    </row>
    <row r="8" customFormat="false" ht="15" hidden="false" customHeight="false" outlineLevel="0" collapsed="false">
      <c r="B8" s="16" t="s">
        <v>61</v>
      </c>
      <c r="C8" s="17" t="n">
        <v>0</v>
      </c>
      <c r="D8" s="17" t="n">
        <v>0</v>
      </c>
      <c r="E8" s="17" t="n">
        <v>0</v>
      </c>
      <c r="F8" s="17" t="n">
        <v>0</v>
      </c>
      <c r="G8" s="17" t="n">
        <v>0</v>
      </c>
      <c r="H8" s="17" t="n">
        <v>0</v>
      </c>
      <c r="I8" s="17" t="n">
        <v>0</v>
      </c>
      <c r="J8" s="17" t="n">
        <v>0</v>
      </c>
      <c r="K8" s="17" t="n">
        <v>0</v>
      </c>
      <c r="L8" s="17" t="n">
        <v>0</v>
      </c>
      <c r="M8" s="17" t="n">
        <v>0</v>
      </c>
      <c r="N8" s="17" t="n">
        <v>0</v>
      </c>
      <c r="O8" s="18" t="n">
        <f aca="false">SUM(C8:N8)</f>
        <v>0</v>
      </c>
    </row>
    <row r="9" customFormat="false" ht="15" hidden="false" customHeight="false" outlineLevel="0" collapsed="false">
      <c r="B9" s="16" t="s">
        <v>62</v>
      </c>
      <c r="C9" s="17" t="n">
        <v>0</v>
      </c>
      <c r="D9" s="17" t="n">
        <v>0</v>
      </c>
      <c r="E9" s="17" t="n">
        <v>0</v>
      </c>
      <c r="F9" s="17" t="n">
        <v>0</v>
      </c>
      <c r="G9" s="17" t="n">
        <v>0</v>
      </c>
      <c r="H9" s="17" t="n">
        <v>0</v>
      </c>
      <c r="I9" s="17" t="n">
        <v>0</v>
      </c>
      <c r="J9" s="17" t="n">
        <v>0</v>
      </c>
      <c r="K9" s="17" t="n">
        <v>0</v>
      </c>
      <c r="L9" s="17" t="n">
        <v>0</v>
      </c>
      <c r="M9" s="17" t="n">
        <v>0</v>
      </c>
      <c r="N9" s="17" t="n">
        <v>0</v>
      </c>
      <c r="O9" s="18" t="n">
        <f aca="false">SUM(C9:N9)</f>
        <v>0</v>
      </c>
    </row>
    <row r="10" customFormat="false" ht="15" hidden="false" customHeight="false" outlineLevel="0" collapsed="false">
      <c r="B10" s="16" t="s">
        <v>63</v>
      </c>
      <c r="C10" s="17" t="n">
        <v>0</v>
      </c>
      <c r="D10" s="17" t="n">
        <v>0</v>
      </c>
      <c r="E10" s="17" t="n">
        <v>0</v>
      </c>
      <c r="F10" s="17" t="n">
        <v>0</v>
      </c>
      <c r="G10" s="17" t="n">
        <v>0</v>
      </c>
      <c r="H10" s="17" t="n">
        <v>0</v>
      </c>
      <c r="I10" s="17" t="n">
        <v>0</v>
      </c>
      <c r="J10" s="17" t="n">
        <v>0</v>
      </c>
      <c r="K10" s="17" t="n">
        <v>0</v>
      </c>
      <c r="L10" s="17" t="n">
        <v>0</v>
      </c>
      <c r="M10" s="17" t="n">
        <v>0</v>
      </c>
      <c r="N10" s="17" t="n">
        <v>0</v>
      </c>
      <c r="O10" s="18" t="n">
        <f aca="false">SUM(C10:N10)</f>
        <v>0</v>
      </c>
    </row>
    <row r="11" customFormat="false" ht="15" hidden="false" customHeight="false" outlineLevel="0" collapsed="false">
      <c r="B11" s="16" t="s">
        <v>64</v>
      </c>
      <c r="C11" s="17" t="n">
        <v>0</v>
      </c>
      <c r="D11" s="17" t="n">
        <v>0</v>
      </c>
      <c r="E11" s="17" t="n">
        <v>0</v>
      </c>
      <c r="F11" s="17" t="n">
        <v>0</v>
      </c>
      <c r="G11" s="17" t="n">
        <v>0</v>
      </c>
      <c r="H11" s="17" t="n">
        <v>0</v>
      </c>
      <c r="I11" s="17" t="n">
        <v>0</v>
      </c>
      <c r="J11" s="17" t="n">
        <v>0</v>
      </c>
      <c r="K11" s="17" t="n">
        <v>0</v>
      </c>
      <c r="L11" s="17" t="n">
        <v>0</v>
      </c>
      <c r="M11" s="17" t="n">
        <v>0</v>
      </c>
      <c r="N11" s="17" t="n">
        <v>0</v>
      </c>
      <c r="O11" s="18" t="n">
        <f aca="false">SUM(C11:N11)</f>
        <v>0</v>
      </c>
    </row>
    <row r="12" customFormat="false" ht="15" hidden="false" customHeight="false" outlineLevel="0" collapsed="false">
      <c r="B12" s="19" t="s">
        <v>65</v>
      </c>
      <c r="C12" s="20" t="n">
        <f aca="false">SUM(C7:C11)</f>
        <v>0</v>
      </c>
      <c r="D12" s="20" t="n">
        <f aca="false">SUM(D7:D11)</f>
        <v>0</v>
      </c>
      <c r="E12" s="20" t="n">
        <f aca="false">SUM(E7:E11)</f>
        <v>0</v>
      </c>
      <c r="F12" s="20" t="n">
        <f aca="false">SUM(F7:F11)</f>
        <v>0</v>
      </c>
      <c r="G12" s="20" t="n">
        <f aca="false">SUM(G7:G11)</f>
        <v>0</v>
      </c>
      <c r="H12" s="20" t="n">
        <f aca="false">SUM(H7:H11)</f>
        <v>0</v>
      </c>
      <c r="I12" s="20" t="n">
        <f aca="false">SUM(I7:I11)</f>
        <v>0</v>
      </c>
      <c r="J12" s="20" t="n">
        <f aca="false">SUM(J7:J11)</f>
        <v>0</v>
      </c>
      <c r="K12" s="20" t="n">
        <f aca="false">SUM(K7:K11)</f>
        <v>0</v>
      </c>
      <c r="L12" s="20" t="n">
        <f aca="false">SUM(L7:L11)</f>
        <v>0</v>
      </c>
      <c r="M12" s="20" t="n">
        <f aca="false">SUM(M7:M11)</f>
        <v>0</v>
      </c>
      <c r="N12" s="20" t="n">
        <f aca="false">SUM(N7:N11)</f>
        <v>0</v>
      </c>
      <c r="O12" s="20" t="n">
        <f aca="false">SUM(O7:O11)</f>
        <v>0</v>
      </c>
    </row>
    <row r="14" customFormat="false" ht="19.5" hidden="false" customHeight="true" outlineLevel="0" collapsed="false">
      <c r="B14" s="21" t="s">
        <v>66</v>
      </c>
      <c r="C14" s="21"/>
      <c r="D14" s="21"/>
      <c r="E14" s="21"/>
      <c r="F14" s="21"/>
      <c r="G14" s="21"/>
      <c r="H14" s="21"/>
      <c r="I14" s="21"/>
      <c r="J14" s="21"/>
      <c r="K14" s="21"/>
      <c r="L14" s="21"/>
      <c r="M14" s="21"/>
      <c r="N14" s="21"/>
      <c r="O14" s="21"/>
    </row>
    <row r="15" customFormat="false" ht="15" hidden="false" customHeight="false" outlineLevel="0" collapsed="false">
      <c r="B15" s="22" t="s">
        <v>46</v>
      </c>
      <c r="C15" s="15" t="s">
        <v>47</v>
      </c>
      <c r="D15" s="15" t="s">
        <v>48</v>
      </c>
      <c r="E15" s="15" t="s">
        <v>49</v>
      </c>
      <c r="F15" s="15" t="s">
        <v>50</v>
      </c>
      <c r="G15" s="15" t="s">
        <v>51</v>
      </c>
      <c r="H15" s="15" t="s">
        <v>52</v>
      </c>
      <c r="I15" s="15" t="s">
        <v>53</v>
      </c>
      <c r="J15" s="15" t="s">
        <v>54</v>
      </c>
      <c r="K15" s="15" t="s">
        <v>55</v>
      </c>
      <c r="L15" s="15" t="s">
        <v>56</v>
      </c>
      <c r="M15" s="15" t="s">
        <v>57</v>
      </c>
      <c r="N15" s="15" t="s">
        <v>58</v>
      </c>
      <c r="O15" s="15" t="s">
        <v>59</v>
      </c>
    </row>
    <row r="16" customFormat="false" ht="15" hidden="false" customHeight="false" outlineLevel="0" collapsed="false">
      <c r="B16" s="23" t="s">
        <v>67</v>
      </c>
      <c r="C16" s="24"/>
      <c r="D16" s="24"/>
      <c r="E16" s="24"/>
      <c r="F16" s="24"/>
      <c r="G16" s="24"/>
      <c r="H16" s="24"/>
      <c r="I16" s="24"/>
      <c r="J16" s="24"/>
      <c r="K16" s="24"/>
      <c r="L16" s="24"/>
      <c r="M16" s="24"/>
      <c r="N16" s="24"/>
      <c r="O16" s="24"/>
    </row>
    <row r="17" customFormat="false" ht="15" hidden="false" customHeight="false" outlineLevel="0" collapsed="false">
      <c r="B17" s="25" t="s">
        <v>68</v>
      </c>
      <c r="C17" s="17" t="n">
        <v>0</v>
      </c>
      <c r="D17" s="17" t="n">
        <v>0</v>
      </c>
      <c r="E17" s="17" t="n">
        <v>0</v>
      </c>
      <c r="F17" s="17" t="n">
        <v>0</v>
      </c>
      <c r="G17" s="17" t="n">
        <v>0</v>
      </c>
      <c r="H17" s="17" t="n">
        <v>0</v>
      </c>
      <c r="I17" s="17" t="n">
        <v>0</v>
      </c>
      <c r="J17" s="17" t="n">
        <v>0</v>
      </c>
      <c r="K17" s="17" t="n">
        <v>0</v>
      </c>
      <c r="L17" s="17" t="n">
        <v>0</v>
      </c>
      <c r="M17" s="17" t="n">
        <v>0</v>
      </c>
      <c r="N17" s="17" t="n">
        <v>0</v>
      </c>
      <c r="O17" s="26" t="n">
        <f aca="false">SUM(C17:N17)</f>
        <v>0</v>
      </c>
    </row>
    <row r="18" customFormat="false" ht="15" hidden="false" customHeight="false" outlineLevel="0" collapsed="false">
      <c r="B18" s="25" t="s">
        <v>69</v>
      </c>
      <c r="C18" s="17" t="n">
        <v>0</v>
      </c>
      <c r="D18" s="17" t="n">
        <v>0</v>
      </c>
      <c r="E18" s="17" t="n">
        <v>0</v>
      </c>
      <c r="F18" s="17" t="n">
        <v>0</v>
      </c>
      <c r="G18" s="17" t="n">
        <v>0</v>
      </c>
      <c r="H18" s="17" t="n">
        <v>0</v>
      </c>
      <c r="I18" s="17" t="n">
        <v>0</v>
      </c>
      <c r="J18" s="17" t="n">
        <v>0</v>
      </c>
      <c r="K18" s="17" t="n">
        <v>0</v>
      </c>
      <c r="L18" s="17" t="n">
        <v>0</v>
      </c>
      <c r="M18" s="17" t="n">
        <v>0</v>
      </c>
      <c r="N18" s="17" t="n">
        <v>0</v>
      </c>
      <c r="O18" s="26" t="n">
        <f aca="false">SUM(C18:N18)</f>
        <v>0</v>
      </c>
    </row>
    <row r="19" customFormat="false" ht="15" hidden="false" customHeight="false" outlineLevel="0" collapsed="false">
      <c r="B19" s="25" t="s">
        <v>70</v>
      </c>
      <c r="C19" s="17" t="n">
        <v>0</v>
      </c>
      <c r="D19" s="17" t="n">
        <v>0</v>
      </c>
      <c r="E19" s="17" t="n">
        <v>0</v>
      </c>
      <c r="F19" s="17" t="n">
        <v>0</v>
      </c>
      <c r="G19" s="17" t="n">
        <v>0</v>
      </c>
      <c r="H19" s="17" t="n">
        <v>0</v>
      </c>
      <c r="I19" s="17" t="n">
        <v>0</v>
      </c>
      <c r="J19" s="17" t="n">
        <v>0</v>
      </c>
      <c r="K19" s="17" t="n">
        <v>0</v>
      </c>
      <c r="L19" s="17" t="n">
        <v>0</v>
      </c>
      <c r="M19" s="17" t="n">
        <v>0</v>
      </c>
      <c r="N19" s="17" t="n">
        <v>0</v>
      </c>
      <c r="O19" s="26" t="n">
        <f aca="false">SUM(C19:N19)</f>
        <v>0</v>
      </c>
    </row>
    <row r="20" customFormat="false" ht="15" hidden="false" customHeight="false" outlineLevel="0" collapsed="false">
      <c r="B20" s="25" t="s">
        <v>71</v>
      </c>
      <c r="C20" s="17" t="n">
        <v>0</v>
      </c>
      <c r="D20" s="17" t="n">
        <v>0</v>
      </c>
      <c r="E20" s="17" t="n">
        <v>0</v>
      </c>
      <c r="F20" s="17" t="n">
        <v>0</v>
      </c>
      <c r="G20" s="17" t="n">
        <v>0</v>
      </c>
      <c r="H20" s="17" t="n">
        <v>0</v>
      </c>
      <c r="I20" s="17" t="n">
        <v>0</v>
      </c>
      <c r="J20" s="17" t="n">
        <v>0</v>
      </c>
      <c r="K20" s="17" t="n">
        <v>0</v>
      </c>
      <c r="L20" s="17" t="n">
        <v>0</v>
      </c>
      <c r="M20" s="17" t="n">
        <v>0</v>
      </c>
      <c r="N20" s="17" t="n">
        <v>0</v>
      </c>
      <c r="O20" s="26" t="n">
        <f aca="false">SUM(C20:N20)</f>
        <v>0</v>
      </c>
    </row>
    <row r="21" customFormat="false" ht="15" hidden="false" customHeight="false" outlineLevel="0" collapsed="false">
      <c r="B21" s="27" t="s">
        <v>72</v>
      </c>
      <c r="C21" s="20" t="n">
        <f aca="false">SUM(C17:C20)</f>
        <v>0</v>
      </c>
      <c r="D21" s="20" t="n">
        <f aca="false">SUM(D17:D20)</f>
        <v>0</v>
      </c>
      <c r="E21" s="20" t="n">
        <f aca="false">SUM(E17:E20)</f>
        <v>0</v>
      </c>
      <c r="F21" s="20" t="n">
        <f aca="false">SUM(F17:F20)</f>
        <v>0</v>
      </c>
      <c r="G21" s="20" t="n">
        <f aca="false">SUM(G17:G20)</f>
        <v>0</v>
      </c>
      <c r="H21" s="20" t="n">
        <f aca="false">SUM(H17:H20)</f>
        <v>0</v>
      </c>
      <c r="I21" s="20" t="n">
        <f aca="false">SUM(I17:I20)</f>
        <v>0</v>
      </c>
      <c r="J21" s="20" t="n">
        <f aca="false">SUM(J17:J20)</f>
        <v>0</v>
      </c>
      <c r="K21" s="20" t="n">
        <f aca="false">SUM(K17:K20)</f>
        <v>0</v>
      </c>
      <c r="L21" s="20" t="n">
        <f aca="false">SUM(L17:L20)</f>
        <v>0</v>
      </c>
      <c r="M21" s="20" t="n">
        <f aca="false">SUM(M17:M20)</f>
        <v>0</v>
      </c>
      <c r="N21" s="20" t="n">
        <f aca="false">SUM(N17:N20)</f>
        <v>0</v>
      </c>
      <c r="O21" s="20" t="n">
        <f aca="false">SUM(O17:O20)</f>
        <v>0</v>
      </c>
    </row>
    <row r="23" customFormat="false" ht="15" hidden="false" customHeight="false" outlineLevel="0" collapsed="false">
      <c r="B23" s="23" t="s">
        <v>73</v>
      </c>
      <c r="C23" s="24"/>
      <c r="D23" s="24"/>
      <c r="E23" s="24"/>
      <c r="F23" s="24"/>
      <c r="G23" s="24"/>
      <c r="H23" s="24"/>
      <c r="I23" s="24"/>
      <c r="J23" s="24"/>
      <c r="K23" s="24"/>
      <c r="L23" s="24"/>
      <c r="M23" s="24"/>
      <c r="N23" s="24"/>
      <c r="O23" s="24"/>
    </row>
    <row r="24" customFormat="false" ht="15" hidden="false" customHeight="false" outlineLevel="0" collapsed="false">
      <c r="B24" s="25" t="s">
        <v>74</v>
      </c>
      <c r="C24" s="17" t="n">
        <v>0</v>
      </c>
      <c r="D24" s="17" t="n">
        <v>0</v>
      </c>
      <c r="E24" s="17" t="n">
        <v>0</v>
      </c>
      <c r="F24" s="17" t="n">
        <v>0</v>
      </c>
      <c r="G24" s="17" t="n">
        <v>0</v>
      </c>
      <c r="H24" s="17" t="n">
        <v>0</v>
      </c>
      <c r="I24" s="17" t="n">
        <v>0</v>
      </c>
      <c r="J24" s="17" t="n">
        <v>0</v>
      </c>
      <c r="K24" s="17" t="n">
        <v>0</v>
      </c>
      <c r="L24" s="17" t="n">
        <v>0</v>
      </c>
      <c r="M24" s="17" t="n">
        <v>0</v>
      </c>
      <c r="N24" s="17" t="n">
        <v>0</v>
      </c>
      <c r="O24" s="26" t="n">
        <f aca="false">SUM(C24:N24)</f>
        <v>0</v>
      </c>
    </row>
    <row r="25" customFormat="false" ht="15" hidden="false" customHeight="false" outlineLevel="0" collapsed="false">
      <c r="B25" s="25" t="s">
        <v>75</v>
      </c>
      <c r="C25" s="17" t="n">
        <v>0</v>
      </c>
      <c r="D25" s="17" t="n">
        <v>0</v>
      </c>
      <c r="E25" s="17" t="n">
        <v>0</v>
      </c>
      <c r="F25" s="17" t="n">
        <v>0</v>
      </c>
      <c r="G25" s="17" t="n">
        <v>0</v>
      </c>
      <c r="H25" s="17" t="n">
        <v>0</v>
      </c>
      <c r="I25" s="17" t="n">
        <v>0</v>
      </c>
      <c r="J25" s="17" t="n">
        <v>0</v>
      </c>
      <c r="K25" s="17" t="n">
        <v>0</v>
      </c>
      <c r="L25" s="17" t="n">
        <v>0</v>
      </c>
      <c r="M25" s="17" t="n">
        <v>0</v>
      </c>
      <c r="N25" s="17" t="n">
        <v>0</v>
      </c>
      <c r="O25" s="26" t="n">
        <f aca="false">SUM(C25:N25)</f>
        <v>0</v>
      </c>
    </row>
    <row r="26" customFormat="false" ht="15" hidden="false" customHeight="false" outlineLevel="0" collapsed="false">
      <c r="B26" s="25" t="s">
        <v>76</v>
      </c>
      <c r="C26" s="17" t="n">
        <v>0</v>
      </c>
      <c r="D26" s="17" t="n">
        <v>0</v>
      </c>
      <c r="E26" s="17" t="n">
        <v>0</v>
      </c>
      <c r="F26" s="17" t="n">
        <v>0</v>
      </c>
      <c r="G26" s="17" t="n">
        <v>0</v>
      </c>
      <c r="H26" s="17" t="n">
        <v>0</v>
      </c>
      <c r="I26" s="17" t="n">
        <v>0</v>
      </c>
      <c r="J26" s="17" t="n">
        <v>0</v>
      </c>
      <c r="K26" s="17" t="n">
        <v>0</v>
      </c>
      <c r="L26" s="17" t="n">
        <v>0</v>
      </c>
      <c r="M26" s="17" t="n">
        <v>0</v>
      </c>
      <c r="N26" s="17" t="n">
        <v>0</v>
      </c>
      <c r="O26" s="26" t="n">
        <f aca="false">SUM(C26:N26)</f>
        <v>0</v>
      </c>
    </row>
    <row r="27" customFormat="false" ht="15" hidden="false" customHeight="false" outlineLevel="0" collapsed="false">
      <c r="B27" s="25" t="s">
        <v>77</v>
      </c>
      <c r="C27" s="17" t="n">
        <v>0</v>
      </c>
      <c r="D27" s="17" t="n">
        <v>0</v>
      </c>
      <c r="E27" s="17" t="n">
        <v>0</v>
      </c>
      <c r="F27" s="17" t="n">
        <v>0</v>
      </c>
      <c r="G27" s="17" t="n">
        <v>0</v>
      </c>
      <c r="H27" s="17" t="n">
        <v>0</v>
      </c>
      <c r="I27" s="17" t="n">
        <v>0</v>
      </c>
      <c r="J27" s="17" t="n">
        <v>0</v>
      </c>
      <c r="K27" s="17" t="n">
        <v>0</v>
      </c>
      <c r="L27" s="17" t="n">
        <v>0</v>
      </c>
      <c r="M27" s="17" t="n">
        <v>0</v>
      </c>
      <c r="N27" s="17" t="n">
        <v>0</v>
      </c>
      <c r="O27" s="26" t="n">
        <f aca="false">SUM(C27:N27)</f>
        <v>0</v>
      </c>
    </row>
    <row r="28" customFormat="false" ht="15" hidden="false" customHeight="false" outlineLevel="0" collapsed="false">
      <c r="B28" s="27" t="s">
        <v>78</v>
      </c>
      <c r="C28" s="20" t="n">
        <f aca="false">SUM(C24:C27)</f>
        <v>0</v>
      </c>
      <c r="D28" s="20" t="n">
        <f aca="false">SUM(D24:D27)</f>
        <v>0</v>
      </c>
      <c r="E28" s="20" t="n">
        <f aca="false">SUM(E24:E27)</f>
        <v>0</v>
      </c>
      <c r="F28" s="20" t="n">
        <f aca="false">SUM(F24:F27)</f>
        <v>0</v>
      </c>
      <c r="G28" s="20" t="n">
        <f aca="false">SUM(G24:G27)</f>
        <v>0</v>
      </c>
      <c r="H28" s="20" t="n">
        <f aca="false">SUM(H24:H27)</f>
        <v>0</v>
      </c>
      <c r="I28" s="20" t="n">
        <f aca="false">SUM(I24:I27)</f>
        <v>0</v>
      </c>
      <c r="J28" s="20" t="n">
        <f aca="false">SUM(J24:J27)</f>
        <v>0</v>
      </c>
      <c r="K28" s="20" t="n">
        <f aca="false">SUM(K24:K27)</f>
        <v>0</v>
      </c>
      <c r="L28" s="20" t="n">
        <f aca="false">SUM(L24:L27)</f>
        <v>0</v>
      </c>
      <c r="M28" s="20" t="n">
        <f aca="false">SUM(M24:M27)</f>
        <v>0</v>
      </c>
      <c r="N28" s="20" t="n">
        <f aca="false">SUM(N24:N27)</f>
        <v>0</v>
      </c>
      <c r="O28" s="20" t="n">
        <f aca="false">SUM(O24:O27)</f>
        <v>0</v>
      </c>
    </row>
    <row r="30" customFormat="false" ht="15" hidden="false" customHeight="false" outlineLevel="0" collapsed="false">
      <c r="B30" s="23" t="s">
        <v>79</v>
      </c>
      <c r="C30" s="24"/>
      <c r="D30" s="24"/>
      <c r="E30" s="24"/>
      <c r="F30" s="24"/>
      <c r="G30" s="24"/>
      <c r="H30" s="24"/>
      <c r="I30" s="24"/>
      <c r="J30" s="24"/>
      <c r="K30" s="24"/>
      <c r="L30" s="24"/>
      <c r="M30" s="24"/>
      <c r="N30" s="24"/>
      <c r="O30" s="24"/>
    </row>
    <row r="31" customFormat="false" ht="15" hidden="false" customHeight="false" outlineLevel="0" collapsed="false">
      <c r="B31" s="25" t="s">
        <v>80</v>
      </c>
      <c r="C31" s="17" t="n">
        <v>0</v>
      </c>
      <c r="D31" s="17" t="n">
        <v>0</v>
      </c>
      <c r="E31" s="17" t="n">
        <v>0</v>
      </c>
      <c r="F31" s="17" t="n">
        <v>0</v>
      </c>
      <c r="G31" s="17" t="n">
        <v>0</v>
      </c>
      <c r="H31" s="17" t="n">
        <v>0</v>
      </c>
      <c r="I31" s="17" t="n">
        <v>0</v>
      </c>
      <c r="J31" s="17" t="n">
        <v>0</v>
      </c>
      <c r="K31" s="17" t="n">
        <v>0</v>
      </c>
      <c r="L31" s="17" t="n">
        <v>0</v>
      </c>
      <c r="M31" s="17" t="n">
        <v>0</v>
      </c>
      <c r="N31" s="17" t="n">
        <v>0</v>
      </c>
      <c r="O31" s="26" t="n">
        <f aca="false">SUM(C31:N31)</f>
        <v>0</v>
      </c>
    </row>
    <row r="32" customFormat="false" ht="15" hidden="false" customHeight="false" outlineLevel="0" collapsed="false">
      <c r="B32" s="25" t="s">
        <v>81</v>
      </c>
      <c r="C32" s="17" t="n">
        <v>0</v>
      </c>
      <c r="D32" s="17" t="n">
        <v>0</v>
      </c>
      <c r="E32" s="17" t="n">
        <v>0</v>
      </c>
      <c r="F32" s="17" t="n">
        <v>0</v>
      </c>
      <c r="G32" s="17" t="n">
        <v>0</v>
      </c>
      <c r="H32" s="17" t="n">
        <v>0</v>
      </c>
      <c r="I32" s="17" t="n">
        <v>0</v>
      </c>
      <c r="J32" s="17" t="n">
        <v>0</v>
      </c>
      <c r="K32" s="17" t="n">
        <v>0</v>
      </c>
      <c r="L32" s="17" t="n">
        <v>0</v>
      </c>
      <c r="M32" s="17" t="n">
        <v>0</v>
      </c>
      <c r="N32" s="17" t="n">
        <v>0</v>
      </c>
      <c r="O32" s="26" t="n">
        <f aca="false">SUM(C32:N32)</f>
        <v>0</v>
      </c>
    </row>
    <row r="33" customFormat="false" ht="15" hidden="false" customHeight="false" outlineLevel="0" collapsed="false">
      <c r="B33" s="25" t="s">
        <v>82</v>
      </c>
      <c r="C33" s="17" t="n">
        <v>0</v>
      </c>
      <c r="D33" s="17" t="n">
        <v>0</v>
      </c>
      <c r="E33" s="17" t="n">
        <v>0</v>
      </c>
      <c r="F33" s="17" t="n">
        <v>0</v>
      </c>
      <c r="G33" s="17" t="n">
        <v>0</v>
      </c>
      <c r="H33" s="17" t="n">
        <v>0</v>
      </c>
      <c r="I33" s="17" t="n">
        <v>0</v>
      </c>
      <c r="J33" s="17" t="n">
        <v>0</v>
      </c>
      <c r="K33" s="17" t="n">
        <v>0</v>
      </c>
      <c r="L33" s="17" t="n">
        <v>0</v>
      </c>
      <c r="M33" s="17" t="n">
        <v>0</v>
      </c>
      <c r="N33" s="17" t="n">
        <v>0</v>
      </c>
      <c r="O33" s="26" t="n">
        <f aca="false">SUM(C33:N33)</f>
        <v>0</v>
      </c>
    </row>
    <row r="34" customFormat="false" ht="15" hidden="false" customHeight="false" outlineLevel="0" collapsed="false">
      <c r="B34" s="25" t="s">
        <v>83</v>
      </c>
      <c r="C34" s="17" t="n">
        <v>0</v>
      </c>
      <c r="D34" s="17" t="n">
        <v>0</v>
      </c>
      <c r="E34" s="17" t="n">
        <v>0</v>
      </c>
      <c r="F34" s="17" t="n">
        <v>0</v>
      </c>
      <c r="G34" s="17" t="n">
        <v>0</v>
      </c>
      <c r="H34" s="17" t="n">
        <v>0</v>
      </c>
      <c r="I34" s="17" t="n">
        <v>0</v>
      </c>
      <c r="J34" s="17" t="n">
        <v>0</v>
      </c>
      <c r="K34" s="17" t="n">
        <v>0</v>
      </c>
      <c r="L34" s="17" t="n">
        <v>0</v>
      </c>
      <c r="M34" s="17" t="n">
        <v>0</v>
      </c>
      <c r="N34" s="17" t="n">
        <v>0</v>
      </c>
      <c r="O34" s="26" t="n">
        <f aca="false">SUM(C34:N34)</f>
        <v>0</v>
      </c>
    </row>
    <row r="35" customFormat="false" ht="15" hidden="false" customHeight="false" outlineLevel="0" collapsed="false">
      <c r="B35" s="27" t="s">
        <v>84</v>
      </c>
      <c r="C35" s="20" t="n">
        <f aca="false">SUM(C31:C34)</f>
        <v>0</v>
      </c>
      <c r="D35" s="20" t="n">
        <f aca="false">SUM(D31:D34)</f>
        <v>0</v>
      </c>
      <c r="E35" s="20" t="n">
        <f aca="false">SUM(E31:E34)</f>
        <v>0</v>
      </c>
      <c r="F35" s="20" t="n">
        <f aca="false">SUM(F31:F34)</f>
        <v>0</v>
      </c>
      <c r="G35" s="20" t="n">
        <f aca="false">SUM(G31:G34)</f>
        <v>0</v>
      </c>
      <c r="H35" s="20" t="n">
        <f aca="false">SUM(H31:H34)</f>
        <v>0</v>
      </c>
      <c r="I35" s="20" t="n">
        <f aca="false">SUM(I31:I34)</f>
        <v>0</v>
      </c>
      <c r="J35" s="20" t="n">
        <f aca="false">SUM(J31:J34)</f>
        <v>0</v>
      </c>
      <c r="K35" s="20" t="n">
        <f aca="false">SUM(K31:K34)</f>
        <v>0</v>
      </c>
      <c r="L35" s="20" t="n">
        <f aca="false">SUM(L31:L34)</f>
        <v>0</v>
      </c>
      <c r="M35" s="20" t="n">
        <f aca="false">SUM(M31:M34)</f>
        <v>0</v>
      </c>
      <c r="N35" s="20" t="n">
        <f aca="false">SUM(N31:N34)</f>
        <v>0</v>
      </c>
      <c r="O35" s="20" t="n">
        <f aca="false">SUM(O31:O34)</f>
        <v>0</v>
      </c>
    </row>
    <row r="37" customFormat="false" ht="15" hidden="false" customHeight="false" outlineLevel="0" collapsed="false">
      <c r="B37" s="23" t="s">
        <v>85</v>
      </c>
      <c r="C37" s="24"/>
      <c r="D37" s="24"/>
      <c r="E37" s="24"/>
      <c r="F37" s="24"/>
      <c r="G37" s="24"/>
      <c r="H37" s="24"/>
      <c r="I37" s="24"/>
      <c r="J37" s="24"/>
      <c r="K37" s="24"/>
      <c r="L37" s="24"/>
      <c r="M37" s="24"/>
      <c r="N37" s="24"/>
      <c r="O37" s="24"/>
    </row>
    <row r="38" customFormat="false" ht="15" hidden="false" customHeight="false" outlineLevel="0" collapsed="false">
      <c r="B38" s="25" t="s">
        <v>86</v>
      </c>
      <c r="C38" s="17" t="n">
        <v>0</v>
      </c>
      <c r="D38" s="17" t="n">
        <v>0</v>
      </c>
      <c r="E38" s="17" t="n">
        <v>0</v>
      </c>
      <c r="F38" s="17" t="n">
        <v>0</v>
      </c>
      <c r="G38" s="17" t="n">
        <v>0</v>
      </c>
      <c r="H38" s="17" t="n">
        <v>0</v>
      </c>
      <c r="I38" s="17" t="n">
        <v>0</v>
      </c>
      <c r="J38" s="17" t="n">
        <v>0</v>
      </c>
      <c r="K38" s="17" t="n">
        <v>0</v>
      </c>
      <c r="L38" s="17" t="n">
        <v>0</v>
      </c>
      <c r="M38" s="17" t="n">
        <v>0</v>
      </c>
      <c r="N38" s="17" t="n">
        <v>0</v>
      </c>
      <c r="O38" s="26" t="n">
        <f aca="false">SUM(C38:N38)</f>
        <v>0</v>
      </c>
    </row>
    <row r="39" customFormat="false" ht="15" hidden="false" customHeight="false" outlineLevel="0" collapsed="false">
      <c r="B39" s="25" t="s">
        <v>87</v>
      </c>
      <c r="C39" s="17" t="n">
        <v>0</v>
      </c>
      <c r="D39" s="17" t="n">
        <v>0</v>
      </c>
      <c r="E39" s="17" t="n">
        <v>0</v>
      </c>
      <c r="F39" s="17" t="n">
        <v>0</v>
      </c>
      <c r="G39" s="17" t="n">
        <v>0</v>
      </c>
      <c r="H39" s="17" t="n">
        <v>0</v>
      </c>
      <c r="I39" s="17" t="n">
        <v>0</v>
      </c>
      <c r="J39" s="17" t="n">
        <v>0</v>
      </c>
      <c r="K39" s="17" t="n">
        <v>0</v>
      </c>
      <c r="L39" s="17" t="n">
        <v>0</v>
      </c>
      <c r="M39" s="17" t="n">
        <v>0</v>
      </c>
      <c r="N39" s="17" t="n">
        <v>0</v>
      </c>
      <c r="O39" s="26" t="n">
        <f aca="false">SUM(C39:N39)</f>
        <v>0</v>
      </c>
    </row>
    <row r="40" customFormat="false" ht="15" hidden="false" customHeight="false" outlineLevel="0" collapsed="false">
      <c r="B40" s="25" t="s">
        <v>88</v>
      </c>
      <c r="C40" s="17" t="n">
        <v>0</v>
      </c>
      <c r="D40" s="17" t="n">
        <v>0</v>
      </c>
      <c r="E40" s="17" t="n">
        <v>0</v>
      </c>
      <c r="F40" s="17" t="n">
        <v>0</v>
      </c>
      <c r="G40" s="17" t="n">
        <v>0</v>
      </c>
      <c r="H40" s="17" t="n">
        <v>0</v>
      </c>
      <c r="I40" s="17" t="n">
        <v>0</v>
      </c>
      <c r="J40" s="17" t="n">
        <v>0</v>
      </c>
      <c r="K40" s="17" t="n">
        <v>0</v>
      </c>
      <c r="L40" s="17" t="n">
        <v>0</v>
      </c>
      <c r="M40" s="17" t="n">
        <v>0</v>
      </c>
      <c r="N40" s="17" t="n">
        <v>0</v>
      </c>
      <c r="O40" s="26" t="n">
        <f aca="false">SUM(C40:N40)</f>
        <v>0</v>
      </c>
    </row>
    <row r="41" customFormat="false" ht="15" hidden="false" customHeight="false" outlineLevel="0" collapsed="false">
      <c r="B41" s="27" t="s">
        <v>89</v>
      </c>
      <c r="C41" s="20" t="n">
        <f aca="false">SUM(C38:C40)</f>
        <v>0</v>
      </c>
      <c r="D41" s="20" t="n">
        <f aca="false">SUM(D38:D40)</f>
        <v>0</v>
      </c>
      <c r="E41" s="20" t="n">
        <f aca="false">SUM(E38:E40)</f>
        <v>0</v>
      </c>
      <c r="F41" s="20" t="n">
        <f aca="false">SUM(F38:F40)</f>
        <v>0</v>
      </c>
      <c r="G41" s="20" t="n">
        <f aca="false">SUM(G38:G40)</f>
        <v>0</v>
      </c>
      <c r="H41" s="20" t="n">
        <f aca="false">SUM(H38:H40)</f>
        <v>0</v>
      </c>
      <c r="I41" s="20" t="n">
        <f aca="false">SUM(I38:I40)</f>
        <v>0</v>
      </c>
      <c r="J41" s="20" t="n">
        <f aca="false">SUM(J38:J40)</f>
        <v>0</v>
      </c>
      <c r="K41" s="20" t="n">
        <f aca="false">SUM(K38:K40)</f>
        <v>0</v>
      </c>
      <c r="L41" s="20" t="n">
        <f aca="false">SUM(L38:L40)</f>
        <v>0</v>
      </c>
      <c r="M41" s="20" t="n">
        <f aca="false">SUM(M38:M40)</f>
        <v>0</v>
      </c>
      <c r="N41" s="20" t="n">
        <f aca="false">SUM(N38:N40)</f>
        <v>0</v>
      </c>
      <c r="O41" s="20" t="n">
        <f aca="false">SUM(O38:O40)</f>
        <v>0</v>
      </c>
    </row>
    <row r="43" customFormat="false" ht="15" hidden="false" customHeight="false" outlineLevel="0" collapsed="false">
      <c r="B43" s="23" t="s">
        <v>90</v>
      </c>
      <c r="C43" s="24"/>
      <c r="D43" s="24"/>
      <c r="E43" s="24"/>
      <c r="F43" s="24"/>
      <c r="G43" s="24"/>
      <c r="H43" s="24"/>
      <c r="I43" s="24"/>
      <c r="J43" s="24"/>
      <c r="K43" s="24"/>
      <c r="L43" s="24"/>
      <c r="M43" s="24"/>
      <c r="N43" s="24"/>
      <c r="O43" s="24"/>
    </row>
    <row r="44" customFormat="false" ht="15" hidden="false" customHeight="false" outlineLevel="0" collapsed="false">
      <c r="B44" s="25" t="s">
        <v>91</v>
      </c>
      <c r="C44" s="17" t="n">
        <v>0</v>
      </c>
      <c r="D44" s="17" t="n">
        <v>0</v>
      </c>
      <c r="E44" s="17" t="n">
        <v>0</v>
      </c>
      <c r="F44" s="17" t="n">
        <v>0</v>
      </c>
      <c r="G44" s="17" t="n">
        <v>0</v>
      </c>
      <c r="H44" s="17" t="n">
        <v>0</v>
      </c>
      <c r="I44" s="17" t="n">
        <v>0</v>
      </c>
      <c r="J44" s="17" t="n">
        <v>0</v>
      </c>
      <c r="K44" s="17" t="n">
        <v>0</v>
      </c>
      <c r="L44" s="17" t="n">
        <v>0</v>
      </c>
      <c r="M44" s="17" t="n">
        <v>0</v>
      </c>
      <c r="N44" s="17" t="n">
        <v>0</v>
      </c>
      <c r="O44" s="26" t="n">
        <f aca="false">SUM(C44:N44)</f>
        <v>0</v>
      </c>
    </row>
    <row r="45" customFormat="false" ht="15" hidden="false" customHeight="false" outlineLevel="0" collapsed="false">
      <c r="B45" s="25" t="s">
        <v>92</v>
      </c>
      <c r="C45" s="17" t="n">
        <v>0</v>
      </c>
      <c r="D45" s="17" t="n">
        <v>0</v>
      </c>
      <c r="E45" s="17" t="n">
        <v>0</v>
      </c>
      <c r="F45" s="17" t="n">
        <v>0</v>
      </c>
      <c r="G45" s="17" t="n">
        <v>0</v>
      </c>
      <c r="H45" s="17" t="n">
        <v>0</v>
      </c>
      <c r="I45" s="17" t="n">
        <v>0</v>
      </c>
      <c r="J45" s="17" t="n">
        <v>0</v>
      </c>
      <c r="K45" s="17" t="n">
        <v>0</v>
      </c>
      <c r="L45" s="17" t="n">
        <v>0</v>
      </c>
      <c r="M45" s="17" t="n">
        <v>0</v>
      </c>
      <c r="N45" s="17" t="n">
        <v>0</v>
      </c>
      <c r="O45" s="26" t="n">
        <f aca="false">SUM(C45:N45)</f>
        <v>0</v>
      </c>
    </row>
    <row r="46" customFormat="false" ht="15" hidden="false" customHeight="false" outlineLevel="0" collapsed="false">
      <c r="B46" s="25" t="s">
        <v>93</v>
      </c>
      <c r="C46" s="17" t="n">
        <v>0</v>
      </c>
      <c r="D46" s="17" t="n">
        <v>0</v>
      </c>
      <c r="E46" s="17" t="n">
        <v>0</v>
      </c>
      <c r="F46" s="17" t="n">
        <v>0</v>
      </c>
      <c r="G46" s="17" t="n">
        <v>0</v>
      </c>
      <c r="H46" s="17" t="n">
        <v>0</v>
      </c>
      <c r="I46" s="17" t="n">
        <v>0</v>
      </c>
      <c r="J46" s="17" t="n">
        <v>0</v>
      </c>
      <c r="K46" s="17" t="n">
        <v>0</v>
      </c>
      <c r="L46" s="17" t="n">
        <v>0</v>
      </c>
      <c r="M46" s="17" t="n">
        <v>0</v>
      </c>
      <c r="N46" s="17" t="n">
        <v>0</v>
      </c>
      <c r="O46" s="26" t="n">
        <f aca="false">SUM(C46:N46)</f>
        <v>0</v>
      </c>
    </row>
    <row r="47" customFormat="false" ht="15" hidden="false" customHeight="false" outlineLevel="0" collapsed="false">
      <c r="B47" s="25" t="s">
        <v>94</v>
      </c>
      <c r="C47" s="17" t="n">
        <v>0</v>
      </c>
      <c r="D47" s="17" t="n">
        <v>0</v>
      </c>
      <c r="E47" s="17" t="n">
        <v>0</v>
      </c>
      <c r="F47" s="17" t="n">
        <v>0</v>
      </c>
      <c r="G47" s="17" t="n">
        <v>0</v>
      </c>
      <c r="H47" s="17" t="n">
        <v>0</v>
      </c>
      <c r="I47" s="17" t="n">
        <v>0</v>
      </c>
      <c r="J47" s="17" t="n">
        <v>0</v>
      </c>
      <c r="K47" s="17" t="n">
        <v>0</v>
      </c>
      <c r="L47" s="17" t="n">
        <v>0</v>
      </c>
      <c r="M47" s="17" t="n">
        <v>0</v>
      </c>
      <c r="N47" s="17" t="n">
        <v>0</v>
      </c>
      <c r="O47" s="26" t="n">
        <f aca="false">SUM(C47:N47)</f>
        <v>0</v>
      </c>
    </row>
    <row r="48" customFormat="false" ht="15" hidden="false" customHeight="false" outlineLevel="0" collapsed="false">
      <c r="B48" s="25" t="s">
        <v>95</v>
      </c>
      <c r="C48" s="17" t="n">
        <v>0</v>
      </c>
      <c r="D48" s="17" t="n">
        <v>0</v>
      </c>
      <c r="E48" s="17" t="n">
        <v>0</v>
      </c>
      <c r="F48" s="17" t="n">
        <v>0</v>
      </c>
      <c r="G48" s="17" t="n">
        <v>0</v>
      </c>
      <c r="H48" s="17" t="n">
        <v>0</v>
      </c>
      <c r="I48" s="17" t="n">
        <v>0</v>
      </c>
      <c r="J48" s="17" t="n">
        <v>0</v>
      </c>
      <c r="K48" s="17" t="n">
        <v>0</v>
      </c>
      <c r="L48" s="17" t="n">
        <v>0</v>
      </c>
      <c r="M48" s="17" t="n">
        <v>0</v>
      </c>
      <c r="N48" s="17" t="n">
        <v>0</v>
      </c>
      <c r="O48" s="26" t="n">
        <f aca="false">SUM(C48:N48)</f>
        <v>0</v>
      </c>
    </row>
    <row r="49" customFormat="false" ht="15" hidden="false" customHeight="false" outlineLevel="0" collapsed="false">
      <c r="B49" s="27" t="s">
        <v>96</v>
      </c>
      <c r="C49" s="20" t="n">
        <f aca="false">SUM(C44:C48)</f>
        <v>0</v>
      </c>
      <c r="D49" s="20" t="n">
        <f aca="false">SUM(D44:D48)</f>
        <v>0</v>
      </c>
      <c r="E49" s="20" t="n">
        <f aca="false">SUM(E44:E48)</f>
        <v>0</v>
      </c>
      <c r="F49" s="20" t="n">
        <f aca="false">SUM(F44:F48)</f>
        <v>0</v>
      </c>
      <c r="G49" s="20" t="n">
        <f aca="false">SUM(G44:G48)</f>
        <v>0</v>
      </c>
      <c r="H49" s="20" t="n">
        <f aca="false">SUM(H44:H48)</f>
        <v>0</v>
      </c>
      <c r="I49" s="20" t="n">
        <f aca="false">SUM(I44:I48)</f>
        <v>0</v>
      </c>
      <c r="J49" s="20" t="n">
        <f aca="false">SUM(J44:J48)</f>
        <v>0</v>
      </c>
      <c r="K49" s="20" t="n">
        <f aca="false">SUM(K44:K48)</f>
        <v>0</v>
      </c>
      <c r="L49" s="20" t="n">
        <f aca="false">SUM(L44:L48)</f>
        <v>0</v>
      </c>
      <c r="M49" s="20" t="n">
        <f aca="false">SUM(M44:M48)</f>
        <v>0</v>
      </c>
      <c r="N49" s="20" t="n">
        <f aca="false">SUM(N44:N48)</f>
        <v>0</v>
      </c>
      <c r="O49" s="20" t="n">
        <f aca="false">SUM(O44:O48)</f>
        <v>0</v>
      </c>
    </row>
    <row r="51" customFormat="false" ht="15" hidden="false" customHeight="false" outlineLevel="0" collapsed="false">
      <c r="B51" s="23" t="s">
        <v>97</v>
      </c>
      <c r="C51" s="24"/>
      <c r="D51" s="24"/>
      <c r="E51" s="24"/>
      <c r="F51" s="24"/>
      <c r="G51" s="24"/>
      <c r="H51" s="24"/>
      <c r="I51" s="24"/>
      <c r="J51" s="24"/>
      <c r="K51" s="24"/>
      <c r="L51" s="24"/>
      <c r="M51" s="24"/>
      <c r="N51" s="24"/>
      <c r="O51" s="24"/>
    </row>
    <row r="52" customFormat="false" ht="15" hidden="false" customHeight="false" outlineLevel="0" collapsed="false">
      <c r="B52" s="25" t="s">
        <v>98</v>
      </c>
      <c r="C52" s="17" t="n">
        <v>0</v>
      </c>
      <c r="D52" s="17" t="n">
        <v>0</v>
      </c>
      <c r="E52" s="17" t="n">
        <v>0</v>
      </c>
      <c r="F52" s="17" t="n">
        <v>0</v>
      </c>
      <c r="G52" s="17" t="n">
        <v>0</v>
      </c>
      <c r="H52" s="17" t="n">
        <v>0</v>
      </c>
      <c r="I52" s="17" t="n">
        <v>0</v>
      </c>
      <c r="J52" s="17" t="n">
        <v>0</v>
      </c>
      <c r="K52" s="17" t="n">
        <v>0</v>
      </c>
      <c r="L52" s="17" t="n">
        <v>0</v>
      </c>
      <c r="M52" s="17" t="n">
        <v>0</v>
      </c>
      <c r="N52" s="17" t="n">
        <v>0</v>
      </c>
      <c r="O52" s="26" t="n">
        <f aca="false">SUM(C52:N52)</f>
        <v>0</v>
      </c>
    </row>
    <row r="53" customFormat="false" ht="15" hidden="false" customHeight="false" outlineLevel="0" collapsed="false">
      <c r="B53" s="25" t="s">
        <v>99</v>
      </c>
      <c r="C53" s="17" t="n">
        <v>0</v>
      </c>
      <c r="D53" s="17" t="n">
        <v>0</v>
      </c>
      <c r="E53" s="17" t="n">
        <v>0</v>
      </c>
      <c r="F53" s="17" t="n">
        <v>0</v>
      </c>
      <c r="G53" s="17" t="n">
        <v>0</v>
      </c>
      <c r="H53" s="17" t="n">
        <v>0</v>
      </c>
      <c r="I53" s="17" t="n">
        <v>0</v>
      </c>
      <c r="J53" s="17" t="n">
        <v>0</v>
      </c>
      <c r="K53" s="17" t="n">
        <v>0</v>
      </c>
      <c r="L53" s="17" t="n">
        <v>0</v>
      </c>
      <c r="M53" s="17" t="n">
        <v>0</v>
      </c>
      <c r="N53" s="17" t="n">
        <v>0</v>
      </c>
      <c r="O53" s="26" t="n">
        <f aca="false">SUM(C53:N53)</f>
        <v>0</v>
      </c>
    </row>
    <row r="54" customFormat="false" ht="15" hidden="false" customHeight="false" outlineLevel="0" collapsed="false">
      <c r="B54" s="25" t="s">
        <v>100</v>
      </c>
      <c r="C54" s="17" t="n">
        <v>0</v>
      </c>
      <c r="D54" s="17" t="n">
        <v>0</v>
      </c>
      <c r="E54" s="17" t="n">
        <v>0</v>
      </c>
      <c r="F54" s="17" t="n">
        <v>0</v>
      </c>
      <c r="G54" s="17" t="n">
        <v>0</v>
      </c>
      <c r="H54" s="17" t="n">
        <v>0</v>
      </c>
      <c r="I54" s="17" t="n">
        <v>0</v>
      </c>
      <c r="J54" s="17" t="n">
        <v>0</v>
      </c>
      <c r="K54" s="17" t="n">
        <v>0</v>
      </c>
      <c r="L54" s="17" t="n">
        <v>0</v>
      </c>
      <c r="M54" s="17" t="n">
        <v>0</v>
      </c>
      <c r="N54" s="17" t="n">
        <v>0</v>
      </c>
      <c r="O54" s="26" t="n">
        <f aca="false">SUM(C54:N54)</f>
        <v>0</v>
      </c>
    </row>
    <row r="55" customFormat="false" ht="15" hidden="false" customHeight="false" outlineLevel="0" collapsed="false">
      <c r="B55" s="25" t="s">
        <v>101</v>
      </c>
      <c r="C55" s="17" t="n">
        <v>0</v>
      </c>
      <c r="D55" s="17" t="n">
        <v>0</v>
      </c>
      <c r="E55" s="17" t="n">
        <v>0</v>
      </c>
      <c r="F55" s="17" t="n">
        <v>0</v>
      </c>
      <c r="G55" s="17" t="n">
        <v>0</v>
      </c>
      <c r="H55" s="17" t="n">
        <v>0</v>
      </c>
      <c r="I55" s="17" t="n">
        <v>0</v>
      </c>
      <c r="J55" s="17" t="n">
        <v>0</v>
      </c>
      <c r="K55" s="17" t="n">
        <v>0</v>
      </c>
      <c r="L55" s="17" t="n">
        <v>0</v>
      </c>
      <c r="M55" s="17" t="n">
        <v>0</v>
      </c>
      <c r="N55" s="17" t="n">
        <v>0</v>
      </c>
      <c r="O55" s="26" t="n">
        <f aca="false">SUM(C55:N55)</f>
        <v>0</v>
      </c>
    </row>
    <row r="56" customFormat="false" ht="15" hidden="false" customHeight="false" outlineLevel="0" collapsed="false">
      <c r="B56" s="27" t="s">
        <v>102</v>
      </c>
      <c r="C56" s="20" t="n">
        <f aca="false">SUM(C52:C55)</f>
        <v>0</v>
      </c>
      <c r="D56" s="20" t="n">
        <f aca="false">SUM(D52:D55)</f>
        <v>0</v>
      </c>
      <c r="E56" s="20" t="n">
        <f aca="false">SUM(E52:E55)</f>
        <v>0</v>
      </c>
      <c r="F56" s="20" t="n">
        <f aca="false">SUM(F52:F55)</f>
        <v>0</v>
      </c>
      <c r="G56" s="20" t="n">
        <f aca="false">SUM(G52:G55)</f>
        <v>0</v>
      </c>
      <c r="H56" s="20" t="n">
        <f aca="false">SUM(H52:H55)</f>
        <v>0</v>
      </c>
      <c r="I56" s="20" t="n">
        <f aca="false">SUM(I52:I55)</f>
        <v>0</v>
      </c>
      <c r="J56" s="20" t="n">
        <f aca="false">SUM(J52:J55)</f>
        <v>0</v>
      </c>
      <c r="K56" s="20" t="n">
        <f aca="false">SUM(K52:K55)</f>
        <v>0</v>
      </c>
      <c r="L56" s="20" t="n">
        <f aca="false">SUM(L52:L55)</f>
        <v>0</v>
      </c>
      <c r="M56" s="20" t="n">
        <f aca="false">SUM(M52:M55)</f>
        <v>0</v>
      </c>
      <c r="N56" s="20" t="n">
        <f aca="false">SUM(N52:N55)</f>
        <v>0</v>
      </c>
      <c r="O56" s="20" t="n">
        <f aca="false">SUM(O52:O55)</f>
        <v>0</v>
      </c>
    </row>
    <row r="58" customFormat="false" ht="15" hidden="false" customHeight="false" outlineLevel="0" collapsed="false">
      <c r="B58" s="28" t="s">
        <v>103</v>
      </c>
      <c r="C58" s="29" t="n">
        <f aca="false">C21+C28+C35+C41+C49+C56</f>
        <v>0</v>
      </c>
      <c r="D58" s="29" t="n">
        <f aca="false">D21+D28+D35+D41+D49+D56</f>
        <v>0</v>
      </c>
      <c r="E58" s="29" t="n">
        <f aca="false">E21+E28+E35+E41+E49+E56</f>
        <v>0</v>
      </c>
      <c r="F58" s="29" t="n">
        <f aca="false">F21+F28+F35+F41+F49+F56</f>
        <v>0</v>
      </c>
      <c r="G58" s="29" t="n">
        <f aca="false">G21+G28+G35+G41+G49+G56</f>
        <v>0</v>
      </c>
      <c r="H58" s="29" t="n">
        <f aca="false">H21+H28+H35+H41+H49+H56</f>
        <v>0</v>
      </c>
      <c r="I58" s="29" t="n">
        <f aca="false">I21+I28+I35+I41+I49+I56</f>
        <v>0</v>
      </c>
      <c r="J58" s="29" t="n">
        <f aca="false">J21+J28+J35+J41+J49+J56</f>
        <v>0</v>
      </c>
      <c r="K58" s="29" t="n">
        <f aca="false">K21+K28+K35+K41+K49+K56</f>
        <v>0</v>
      </c>
      <c r="L58" s="29" t="n">
        <f aca="false">L21+L28+L35+L41+L49+L56</f>
        <v>0</v>
      </c>
      <c r="M58" s="29" t="n">
        <f aca="false">M21+M28+M35+M41+M49+M56</f>
        <v>0</v>
      </c>
      <c r="N58" s="29" t="n">
        <f aca="false">N21+N28+N35+N41+N49+N56</f>
        <v>0</v>
      </c>
      <c r="O58" s="29" t="n">
        <f aca="false">SUM(O21,O28,O35,O41,O49,O56)</f>
        <v>0</v>
      </c>
    </row>
    <row r="60" customFormat="false" ht="19.5" hidden="false" customHeight="true" outlineLevel="0" collapsed="false">
      <c r="B60" s="8" t="s">
        <v>104</v>
      </c>
      <c r="C60" s="8"/>
      <c r="D60" s="8"/>
      <c r="E60" s="8"/>
      <c r="F60" s="8"/>
      <c r="G60" s="8"/>
      <c r="H60" s="8"/>
      <c r="I60" s="8"/>
      <c r="J60" s="8"/>
      <c r="K60" s="8"/>
      <c r="L60" s="8"/>
      <c r="M60" s="8"/>
      <c r="N60" s="8"/>
      <c r="O60" s="8"/>
    </row>
    <row r="61" customFormat="false" ht="15" hidden="false" customHeight="false" outlineLevel="0" collapsed="false">
      <c r="B61" s="22" t="s">
        <v>105</v>
      </c>
      <c r="C61" s="18" t="n">
        <f aca="false">C12-C58</f>
        <v>0</v>
      </c>
      <c r="D61" s="18" t="n">
        <f aca="false">D12-D58</f>
        <v>0</v>
      </c>
      <c r="E61" s="18" t="n">
        <f aca="false">E12-E58</f>
        <v>0</v>
      </c>
      <c r="F61" s="18" t="n">
        <f aca="false">F12-F58</f>
        <v>0</v>
      </c>
      <c r="G61" s="18" t="n">
        <f aca="false">G12-G58</f>
        <v>0</v>
      </c>
      <c r="H61" s="18" t="n">
        <f aca="false">H12-H58</f>
        <v>0</v>
      </c>
      <c r="I61" s="18" t="n">
        <f aca="false">I12-I58</f>
        <v>0</v>
      </c>
      <c r="J61" s="18" t="n">
        <f aca="false">J12-J58</f>
        <v>0</v>
      </c>
      <c r="K61" s="18" t="n">
        <f aca="false">K12-K58</f>
        <v>0</v>
      </c>
      <c r="L61" s="18" t="n">
        <f aca="false">L12-L58</f>
        <v>0</v>
      </c>
      <c r="M61" s="18" t="n">
        <f aca="false">M12-M58</f>
        <v>0</v>
      </c>
      <c r="N61" s="18" t="n">
        <f aca="false">N12-N58</f>
        <v>0</v>
      </c>
      <c r="O61" s="18" t="n">
        <f aca="false">SUM(C61:N61)</f>
        <v>0</v>
      </c>
    </row>
    <row r="62" customFormat="false" ht="15" hidden="false" customHeight="false" outlineLevel="0" collapsed="false">
      <c r="B62" s="30" t="s">
        <v>106</v>
      </c>
      <c r="C62" s="31" t="n">
        <f aca="false">IFERROR(C61/C12,0)</f>
        <v>0</v>
      </c>
      <c r="D62" s="31" t="n">
        <f aca="false">IFERROR(D61/D12,0)</f>
        <v>0</v>
      </c>
      <c r="E62" s="31" t="n">
        <f aca="false">IFERROR(E61/E12,0)</f>
        <v>0</v>
      </c>
      <c r="F62" s="31" t="n">
        <f aca="false">IFERROR(F61/F12,0)</f>
        <v>0</v>
      </c>
      <c r="G62" s="31" t="n">
        <f aca="false">IFERROR(G61/G12,0)</f>
        <v>0</v>
      </c>
      <c r="H62" s="31" t="n">
        <f aca="false">IFERROR(H61/H12,0)</f>
        <v>0</v>
      </c>
      <c r="I62" s="31" t="n">
        <f aca="false">IFERROR(I61/I12,0)</f>
        <v>0</v>
      </c>
      <c r="J62" s="31" t="n">
        <f aca="false">IFERROR(J61/J12,0)</f>
        <v>0</v>
      </c>
      <c r="K62" s="31" t="n">
        <f aca="false">IFERROR(K61/K12,0)</f>
        <v>0</v>
      </c>
      <c r="L62" s="31" t="n">
        <f aca="false">IFERROR(L61/L12,0)</f>
        <v>0</v>
      </c>
      <c r="M62" s="31" t="n">
        <f aca="false">IFERROR(M61/M12,0)</f>
        <v>0</v>
      </c>
      <c r="N62" s="31" t="n">
        <f aca="false">IFERROR(N61/N12,0)</f>
        <v>0</v>
      </c>
      <c r="O62" s="31" t="n">
        <f aca="false">IFERROR(O61/O12,0)</f>
        <v>0</v>
      </c>
    </row>
  </sheetData>
  <mergeCells count="5">
    <mergeCell ref="B2:O2"/>
    <mergeCell ref="B3:O3"/>
    <mergeCell ref="B5:O5"/>
    <mergeCell ref="B14:O14"/>
    <mergeCell ref="B60:O60"/>
  </mergeCells>
  <conditionalFormatting sqref="C61:N61">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14"/>
    <col collapsed="false" customWidth="true" hidden="false" outlineLevel="0" max="4" min="4" style="0" width="12"/>
    <col collapsed="false" customWidth="true" hidden="false" outlineLevel="0" max="6" min="5" style="0" width="14"/>
    <col collapsed="false" customWidth="true" hidden="false" outlineLevel="0" max="10" min="7" style="0" width="16"/>
  </cols>
  <sheetData>
    <row r="2" customFormat="false" ht="27.75" hidden="false" customHeight="true" outlineLevel="0" collapsed="false">
      <c r="B2" s="11" t="s">
        <v>107</v>
      </c>
      <c r="C2" s="11"/>
      <c r="D2" s="11"/>
      <c r="E2" s="11"/>
      <c r="F2" s="11"/>
      <c r="G2" s="11"/>
      <c r="H2" s="11"/>
      <c r="I2" s="11"/>
      <c r="J2" s="11"/>
    </row>
    <row r="3" customFormat="false" ht="15" hidden="false" customHeight="false" outlineLevel="0" collapsed="false">
      <c r="B3" s="12" t="s">
        <v>108</v>
      </c>
      <c r="C3" s="12"/>
      <c r="D3" s="12"/>
      <c r="E3" s="12"/>
      <c r="F3" s="12"/>
      <c r="G3" s="12"/>
      <c r="H3" s="12"/>
      <c r="I3" s="12"/>
      <c r="J3" s="12"/>
    </row>
    <row r="5" customFormat="false" ht="19.5" hidden="false" customHeight="true" outlineLevel="0" collapsed="false">
      <c r="B5" s="13" t="s">
        <v>109</v>
      </c>
      <c r="C5" s="13"/>
      <c r="D5" s="13"/>
      <c r="E5" s="13"/>
      <c r="F5" s="13"/>
      <c r="G5" s="13"/>
      <c r="H5" s="13"/>
      <c r="I5" s="13"/>
      <c r="J5" s="13"/>
    </row>
    <row r="6" customFormat="false" ht="23.85" hidden="false" customHeight="false" outlineLevel="0" collapsed="false">
      <c r="B6" s="15" t="s">
        <v>110</v>
      </c>
      <c r="C6" s="15" t="s">
        <v>111</v>
      </c>
      <c r="D6" s="15" t="s">
        <v>112</v>
      </c>
      <c r="E6" s="15" t="s">
        <v>113</v>
      </c>
      <c r="F6" s="15" t="s">
        <v>114</v>
      </c>
      <c r="G6" s="15" t="s">
        <v>115</v>
      </c>
      <c r="H6" s="15" t="s">
        <v>116</v>
      </c>
      <c r="I6" s="15" t="s">
        <v>117</v>
      </c>
    </row>
    <row r="7" customFormat="false" ht="15" hidden="false" customHeight="false" outlineLevel="0" collapsed="false">
      <c r="B7" s="32" t="s">
        <v>118</v>
      </c>
      <c r="C7" s="17" t="n">
        <v>8500</v>
      </c>
      <c r="D7" s="33" t="n">
        <v>0.2399</v>
      </c>
      <c r="E7" s="17" t="n">
        <v>215</v>
      </c>
      <c r="F7" s="34" t="n">
        <f aca="false">RANK(D7,$D$7:$D$11,0)</f>
        <v>1</v>
      </c>
      <c r="G7" s="34" t="n">
        <f aca="false">RANK(C7,$C$7:$C$11,1)</f>
        <v>3</v>
      </c>
      <c r="H7" s="34" t="n">
        <f aca="false">IFERROR(-LN(1-(($D7/12)*$C7)/$E7)/LN(1+($D7/12)),"N/A")</f>
        <v>78.9313228413825</v>
      </c>
      <c r="I7" s="26" t="n">
        <f aca="false">IFERROR((H7*E7)-C7,"N/A")</f>
        <v>8470.23441089723</v>
      </c>
    </row>
    <row r="8" customFormat="false" ht="15" hidden="false" customHeight="false" outlineLevel="0" collapsed="false">
      <c r="B8" s="32" t="s">
        <v>119</v>
      </c>
      <c r="C8" s="17" t="n">
        <v>3200</v>
      </c>
      <c r="D8" s="33" t="n">
        <v>0.1999</v>
      </c>
      <c r="E8" s="17" t="n">
        <v>95</v>
      </c>
      <c r="F8" s="34" t="n">
        <f aca="false">RANK(D8,$D$7:$D$11,0)</f>
        <v>2</v>
      </c>
      <c r="G8" s="34" t="n">
        <f aca="false">RANK(C8,$C$7:$C$11,1)</f>
        <v>1</v>
      </c>
      <c r="H8" s="34" t="n">
        <f aca="false">IFERROR(-LN(1-(($D8/12)*$C8)/$E8)/LN(1+($D8/12)),"N/A")</f>
        <v>49.8474913084599</v>
      </c>
      <c r="I8" s="26" t="n">
        <f aca="false">IFERROR((H8*E8)-C8,"N/A")</f>
        <v>1535.51167430369</v>
      </c>
    </row>
    <row r="9" customFormat="false" ht="15" hidden="false" customHeight="false" outlineLevel="0" collapsed="false">
      <c r="B9" s="32" t="s">
        <v>120</v>
      </c>
      <c r="C9" s="17" t="n">
        <v>14500</v>
      </c>
      <c r="D9" s="33" t="n">
        <v>0.0649</v>
      </c>
      <c r="E9" s="17" t="n">
        <v>320</v>
      </c>
      <c r="F9" s="34" t="n">
        <f aca="false">RANK(D9,$D$7:$D$11,0)</f>
        <v>4</v>
      </c>
      <c r="G9" s="34" t="n">
        <f aca="false">RANK(C9,$C$7:$C$11,1)</f>
        <v>4</v>
      </c>
      <c r="H9" s="34" t="n">
        <f aca="false">IFERROR(-LN(1-(($D9/12)*$C9)/$E9)/LN(1+($D9/12)),"N/A")</f>
        <v>52.1201761948081</v>
      </c>
      <c r="I9" s="26" t="n">
        <f aca="false">IFERROR((H9*E9)-C9,"N/A")</f>
        <v>2178.45638233859</v>
      </c>
    </row>
    <row r="10" customFormat="false" ht="15" hidden="false" customHeight="false" outlineLevel="0" collapsed="false">
      <c r="B10" s="32" t="s">
        <v>121</v>
      </c>
      <c r="C10" s="17" t="n">
        <v>22000</v>
      </c>
      <c r="D10" s="33" t="n">
        <v>0.055</v>
      </c>
      <c r="E10" s="17" t="n">
        <v>240</v>
      </c>
      <c r="F10" s="34" t="n">
        <f aca="false">RANK(D10,$D$7:$D$11,0)</f>
        <v>5</v>
      </c>
      <c r="G10" s="34" t="n">
        <f aca="false">RANK(C10,$C$7:$C$11,1)</f>
        <v>5</v>
      </c>
      <c r="H10" s="34" t="n">
        <f aca="false">IFERROR(-LN(1-(($D10/12)*$C10)/$E10)/LN(1+($D10/12)),"N/A")</f>
        <v>119.17409407395</v>
      </c>
      <c r="I10" s="26" t="n">
        <f aca="false">IFERROR((H10*E10)-C10,"N/A")</f>
        <v>6601.78257774808</v>
      </c>
    </row>
    <row r="11" customFormat="false" ht="15" hidden="false" customHeight="false" outlineLevel="0" collapsed="false">
      <c r="B11" s="32" t="s">
        <v>122</v>
      </c>
      <c r="C11" s="17" t="n">
        <v>5000</v>
      </c>
      <c r="D11" s="33" t="n">
        <v>0.11</v>
      </c>
      <c r="E11" s="17" t="n">
        <v>165</v>
      </c>
      <c r="F11" s="34" t="n">
        <f aca="false">RANK(D11,$D$7:$D$11,0)</f>
        <v>3</v>
      </c>
      <c r="G11" s="34" t="n">
        <f aca="false">RANK(C11,$C$7:$C$11,1)</f>
        <v>2</v>
      </c>
      <c r="H11" s="34" t="n">
        <f aca="false">IFERROR(-LN(1-(($D11/12)*$C11)/$E11)/LN(1+($D11/12)),"N/A")</f>
        <v>35.6630892484037</v>
      </c>
      <c r="I11" s="26" t="n">
        <f aca="false">IFERROR((H11*E11)-C11,"N/A")</f>
        <v>884.409725986609</v>
      </c>
    </row>
    <row r="12" customFormat="false" ht="15" hidden="false" customHeight="false" outlineLevel="0" collapsed="false">
      <c r="B12" s="19" t="s">
        <v>123</v>
      </c>
      <c r="C12" s="20" t="n">
        <f aca="false">SUM(C7:C11)</f>
        <v>53200</v>
      </c>
      <c r="D12" s="35" t="n">
        <f aca="false">SUMPRODUCT(C7:C11,D7:D11)/C12</f>
        <v>0.101125563909774</v>
      </c>
      <c r="E12" s="20" t="n">
        <f aca="false">SUM(E7:E11)</f>
        <v>1035</v>
      </c>
      <c r="F12" s="36"/>
      <c r="G12" s="36"/>
      <c r="H12" s="36"/>
      <c r="I12" s="36"/>
    </row>
    <row r="14" customFormat="false" ht="15" hidden="false" customHeight="true" outlineLevel="0" collapsed="false">
      <c r="B14" s="22" t="s">
        <v>124</v>
      </c>
      <c r="C14" s="17" t="n">
        <v>300</v>
      </c>
      <c r="D14" s="37" t="s">
        <v>125</v>
      </c>
      <c r="E14" s="37"/>
      <c r="F14" s="37"/>
      <c r="G14" s="37"/>
      <c r="H14" s="37"/>
      <c r="I14" s="37"/>
      <c r="J14" s="37"/>
    </row>
    <row r="16" customFormat="false" ht="19.5" hidden="false" customHeight="true" outlineLevel="0" collapsed="false">
      <c r="B16" s="21" t="s">
        <v>126</v>
      </c>
      <c r="C16" s="21"/>
      <c r="D16" s="21"/>
      <c r="E16" s="21"/>
      <c r="F16" s="21"/>
      <c r="G16" s="21"/>
      <c r="H16" s="21"/>
      <c r="I16" s="21"/>
      <c r="J16" s="21"/>
    </row>
    <row r="17" customFormat="false" ht="23.85" hidden="false" customHeight="false" outlineLevel="0" collapsed="false">
      <c r="B17" s="15" t="s">
        <v>127</v>
      </c>
      <c r="C17" s="15" t="s">
        <v>128</v>
      </c>
      <c r="D17" s="15" t="s">
        <v>129</v>
      </c>
      <c r="E17" s="15" t="s">
        <v>130</v>
      </c>
      <c r="F17" s="15" t="s">
        <v>131</v>
      </c>
    </row>
    <row r="18" customFormat="false" ht="15" hidden="false" customHeight="false" outlineLevel="0" collapsed="false">
      <c r="B18" s="22" t="s">
        <v>132</v>
      </c>
      <c r="C18" s="30" t="s">
        <v>133</v>
      </c>
      <c r="D18" s="34" t="n">
        <f aca="false">ROUND((MAX(H7:H11)*(SUM(E7:E11)/(SUM(E7:E11)+C14))),0)</f>
        <v>92</v>
      </c>
      <c r="E18" s="26" t="n">
        <f aca="false">SUM(I7:I11)*0.62</f>
        <v>12195.64475819</v>
      </c>
      <c r="F18" s="26" t="n">
        <f aca="false">SUM(I7:I11)-D18</f>
        <v>19578.3947712742</v>
      </c>
    </row>
    <row r="19" customFormat="false" ht="15" hidden="false" customHeight="false" outlineLevel="0" collapsed="false">
      <c r="B19" s="22" t="s">
        <v>134</v>
      </c>
      <c r="C19" s="30" t="s">
        <v>135</v>
      </c>
      <c r="D19" s="34" t="n">
        <f aca="false">ROUND((MAX(H7:H11)*(SUM(E7:E11)/(SUM(E7:E11)+C14))*1.04),0)</f>
        <v>96</v>
      </c>
      <c r="E19" s="26" t="n">
        <f aca="false">SUM(I7:I11)*0.68</f>
        <v>13375.8684444665</v>
      </c>
      <c r="F19" s="26" t="n">
        <f aca="false">SUM(I7:I11)-D19</f>
        <v>19574.3947712742</v>
      </c>
    </row>
    <row r="21" customFormat="false" ht="45" hidden="false" customHeight="true" outlineLevel="0" collapsed="false">
      <c r="B21" s="37" t="s">
        <v>136</v>
      </c>
      <c r="C21" s="37"/>
      <c r="D21" s="37"/>
      <c r="E21" s="37"/>
      <c r="F21" s="37"/>
      <c r="G21" s="37"/>
      <c r="H21" s="37"/>
      <c r="I21" s="37"/>
      <c r="J21" s="37"/>
    </row>
  </sheetData>
  <mergeCells count="6">
    <mergeCell ref="B2:J2"/>
    <mergeCell ref="B3:J3"/>
    <mergeCell ref="B5:J5"/>
    <mergeCell ref="D14:J14"/>
    <mergeCell ref="B16:J16"/>
    <mergeCell ref="B21:J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9" min="3" style="0" width="16"/>
  </cols>
  <sheetData>
    <row r="2" customFormat="false" ht="27.75" hidden="false" customHeight="true" outlineLevel="0" collapsed="false">
      <c r="B2" s="11" t="s">
        <v>137</v>
      </c>
      <c r="C2" s="11"/>
      <c r="D2" s="11"/>
      <c r="E2" s="11"/>
      <c r="F2" s="11"/>
      <c r="G2" s="11"/>
      <c r="H2" s="11"/>
      <c r="I2" s="11"/>
    </row>
    <row r="3" customFormat="false" ht="15" hidden="false" customHeight="false" outlineLevel="0" collapsed="false">
      <c r="B3" s="12" t="s">
        <v>10</v>
      </c>
      <c r="C3" s="12"/>
      <c r="D3" s="12"/>
      <c r="E3" s="12"/>
      <c r="F3" s="12"/>
      <c r="G3" s="12"/>
      <c r="H3" s="12"/>
      <c r="I3" s="12"/>
    </row>
    <row r="5" customFormat="false" ht="19.5" hidden="false" customHeight="true" outlineLevel="0" collapsed="false">
      <c r="B5" s="13" t="s">
        <v>138</v>
      </c>
      <c r="C5" s="13"/>
      <c r="D5" s="13"/>
      <c r="E5" s="13"/>
      <c r="F5" s="13"/>
      <c r="G5" s="13"/>
      <c r="H5" s="13"/>
      <c r="I5" s="13"/>
    </row>
    <row r="6" customFormat="false" ht="15" hidden="false" customHeight="false" outlineLevel="0" collapsed="false">
      <c r="B6" s="16" t="s">
        <v>139</v>
      </c>
      <c r="C6" s="38" t="n">
        <v>32</v>
      </c>
    </row>
    <row r="7" customFormat="false" ht="15" hidden="false" customHeight="false" outlineLevel="0" collapsed="false">
      <c r="B7" s="16" t="s">
        <v>140</v>
      </c>
      <c r="C7" s="38" t="n">
        <v>60</v>
      </c>
    </row>
    <row r="8" customFormat="false" ht="15" hidden="false" customHeight="false" outlineLevel="0" collapsed="false">
      <c r="B8" s="16" t="s">
        <v>141</v>
      </c>
      <c r="C8" s="17" t="n">
        <v>85000</v>
      </c>
    </row>
    <row r="9" customFormat="false" ht="15" hidden="false" customHeight="false" outlineLevel="0" collapsed="false">
      <c r="B9" s="16" t="s">
        <v>142</v>
      </c>
      <c r="C9" s="17" t="n">
        <v>1500</v>
      </c>
    </row>
    <row r="10" customFormat="false" ht="15" hidden="false" customHeight="false" outlineLevel="0" collapsed="false">
      <c r="B10" s="16" t="s">
        <v>143</v>
      </c>
      <c r="C10" s="39" t="n">
        <v>0.03</v>
      </c>
    </row>
    <row r="11" customFormat="false" ht="15" hidden="false" customHeight="false" outlineLevel="0" collapsed="false">
      <c r="B11" s="16" t="s">
        <v>144</v>
      </c>
      <c r="C11" s="39" t="n">
        <v>0.07</v>
      </c>
    </row>
    <row r="12" customFormat="false" ht="15" hidden="false" customHeight="false" outlineLevel="0" collapsed="false">
      <c r="B12" s="16" t="s">
        <v>145</v>
      </c>
      <c r="C12" s="39" t="n">
        <v>0.045</v>
      </c>
    </row>
    <row r="13" customFormat="false" ht="15" hidden="false" customHeight="false" outlineLevel="0" collapsed="false">
      <c r="B13" s="16" t="s">
        <v>146</v>
      </c>
      <c r="C13" s="39" t="n">
        <v>0.028</v>
      </c>
    </row>
    <row r="14" customFormat="false" ht="15" hidden="false" customHeight="false" outlineLevel="0" collapsed="false">
      <c r="B14" s="16" t="s">
        <v>147</v>
      </c>
      <c r="C14" s="17" t="n">
        <v>90000</v>
      </c>
    </row>
    <row r="15" customFormat="false" ht="15" hidden="false" customHeight="false" outlineLevel="0" collapsed="false">
      <c r="B15" s="16" t="s">
        <v>148</v>
      </c>
      <c r="C15" s="38" t="n">
        <v>28</v>
      </c>
    </row>
    <row r="17" customFormat="false" ht="19.5" hidden="false" customHeight="true" outlineLevel="0" collapsed="false">
      <c r="B17" s="8" t="s">
        <v>149</v>
      </c>
      <c r="C17" s="8"/>
      <c r="D17" s="8"/>
      <c r="E17" s="8"/>
      <c r="F17" s="8"/>
      <c r="G17" s="8"/>
      <c r="H17" s="8"/>
      <c r="I17" s="8"/>
    </row>
    <row r="18" customFormat="false" ht="15" hidden="false" customHeight="false" outlineLevel="0" collapsed="false">
      <c r="B18" s="40" t="s">
        <v>150</v>
      </c>
      <c r="C18" s="41" t="n">
        <f aca="false">C7-C6</f>
        <v>28</v>
      </c>
    </row>
    <row r="19" customFormat="false" ht="15" hidden="false" customHeight="false" outlineLevel="0" collapsed="false">
      <c r="B19" s="40" t="s">
        <v>151</v>
      </c>
      <c r="C19" s="18" t="n">
        <f aca="false">C14*(1+C13)^C18</f>
        <v>195006.783912507</v>
      </c>
    </row>
    <row r="20" customFormat="false" ht="15" hidden="false" customHeight="false" outlineLevel="0" collapsed="false">
      <c r="B20" s="40" t="s">
        <v>152</v>
      </c>
      <c r="C20" s="18" t="n">
        <f aca="false">C19/0.04</f>
        <v>4875169.59781267</v>
      </c>
    </row>
    <row r="21" customFormat="false" ht="15" hidden="false" customHeight="false" outlineLevel="0" collapsed="false">
      <c r="B21" s="40" t="s">
        <v>153</v>
      </c>
      <c r="C21" s="18" t="n">
        <f aca="false">C19*(1-(1+C12)^(-C15))/C12</f>
        <v>3069967.13322903</v>
      </c>
    </row>
    <row r="22" customFormat="false" ht="15" hidden="false" customHeight="false" outlineLevel="0" collapsed="false">
      <c r="B22" s="42" t="s">
        <v>154</v>
      </c>
      <c r="C22" s="18" t="n">
        <f aca="false">INDEX(G28:G67,MATCH($C$7,C28:C67,0))</f>
        <v>2713076.45748676</v>
      </c>
    </row>
    <row r="23" customFormat="false" ht="15" hidden="false" customHeight="false" outlineLevel="0" collapsed="false">
      <c r="B23" s="40" t="s">
        <v>155</v>
      </c>
      <c r="C23" s="18" t="n">
        <f aca="false">C22-C21</f>
        <v>-356890.675742277</v>
      </c>
    </row>
    <row r="26" customFormat="false" ht="19.5" hidden="false" customHeight="true" outlineLevel="0" collapsed="false">
      <c r="B26" s="21" t="s">
        <v>156</v>
      </c>
      <c r="C26" s="21"/>
      <c r="D26" s="21"/>
      <c r="E26" s="21"/>
      <c r="F26" s="21"/>
      <c r="G26" s="21"/>
      <c r="H26" s="21"/>
      <c r="I26" s="21"/>
    </row>
    <row r="27" customFormat="false" ht="15" hidden="false" customHeight="false" outlineLevel="0" collapsed="false">
      <c r="B27" s="15" t="s">
        <v>157</v>
      </c>
      <c r="C27" s="15" t="s">
        <v>158</v>
      </c>
      <c r="D27" s="15" t="s">
        <v>159</v>
      </c>
      <c r="E27" s="15" t="s">
        <v>160</v>
      </c>
      <c r="F27" s="15" t="s">
        <v>161</v>
      </c>
      <c r="G27" s="15" t="s">
        <v>162</v>
      </c>
    </row>
    <row r="28" customFormat="false" ht="15" hidden="false" customHeight="false" outlineLevel="0" collapsed="false">
      <c r="B28" s="34" t="n">
        <v>1</v>
      </c>
      <c r="C28" s="34" t="n">
        <f aca="false">$C$6+B28-1</f>
        <v>32</v>
      </c>
      <c r="D28" s="26" t="n">
        <f aca="false">$C$8</f>
        <v>85000</v>
      </c>
      <c r="E28" s="26" t="n">
        <f aca="false">IF(C28&lt;$C$7,$C$9*12*(1+$C$10)^(B28-1),0)</f>
        <v>18000</v>
      </c>
      <c r="F28" s="26" t="n">
        <f aca="false">IF(C28&lt;$C$7,(D28+E28/2)*$C$11,(D28)*$C$12)</f>
        <v>6580</v>
      </c>
      <c r="G28" s="18" t="n">
        <f aca="false">D28+E28+F28</f>
        <v>109580</v>
      </c>
    </row>
    <row r="29" customFormat="false" ht="15" hidden="false" customHeight="false" outlineLevel="0" collapsed="false">
      <c r="B29" s="34" t="n">
        <f aca="false">B28+1</f>
        <v>2</v>
      </c>
      <c r="C29" s="34" t="n">
        <f aca="false">$C$6+B29-1</f>
        <v>33</v>
      </c>
      <c r="D29" s="26" t="n">
        <f aca="false">G28</f>
        <v>109580</v>
      </c>
      <c r="E29" s="26" t="n">
        <f aca="false">IF(C29&lt;$C$7,$C$9*12*(1+$C$10)^(B29-1),0)</f>
        <v>18540</v>
      </c>
      <c r="F29" s="26" t="n">
        <f aca="false">IF(C29&lt;$C$7,(D29+E29/2)*$C$11,(D29)*$C$12)</f>
        <v>8319.5</v>
      </c>
      <c r="G29" s="18" t="n">
        <f aca="false">D29+E29+F29</f>
        <v>136439.5</v>
      </c>
    </row>
    <row r="30" customFormat="false" ht="15" hidden="false" customHeight="false" outlineLevel="0" collapsed="false">
      <c r="B30" s="34" t="n">
        <f aca="false">B29+1</f>
        <v>3</v>
      </c>
      <c r="C30" s="34" t="n">
        <f aca="false">$C$6+B30-1</f>
        <v>34</v>
      </c>
      <c r="D30" s="26" t="n">
        <f aca="false">G29</f>
        <v>136439.5</v>
      </c>
      <c r="E30" s="26" t="n">
        <f aca="false">IF(C30&lt;$C$7,$C$9*12*(1+$C$10)^(B30-1),0)</f>
        <v>19096.2</v>
      </c>
      <c r="F30" s="26" t="n">
        <f aca="false">IF(C30&lt;$C$7,(D30+E30/2)*$C$11,(D30)*$C$12)</f>
        <v>10219.132</v>
      </c>
      <c r="G30" s="18" t="n">
        <f aca="false">D30+E30+F30</f>
        <v>165754.832</v>
      </c>
    </row>
    <row r="31" customFormat="false" ht="15" hidden="false" customHeight="false" outlineLevel="0" collapsed="false">
      <c r="B31" s="34" t="n">
        <f aca="false">B30+1</f>
        <v>4</v>
      </c>
      <c r="C31" s="34" t="n">
        <f aca="false">$C$6+B31-1</f>
        <v>35</v>
      </c>
      <c r="D31" s="26" t="n">
        <f aca="false">G30</f>
        <v>165754.832</v>
      </c>
      <c r="E31" s="26" t="n">
        <f aca="false">IF(C31&lt;$C$7,$C$9*12*(1+$C$10)^(B31-1),0)</f>
        <v>19669.086</v>
      </c>
      <c r="F31" s="26" t="n">
        <f aca="false">IF(C31&lt;$C$7,(D31+E31/2)*$C$11,(D31)*$C$12)</f>
        <v>12291.25625</v>
      </c>
      <c r="G31" s="18" t="n">
        <f aca="false">D31+E31+F31</f>
        <v>197715.17425</v>
      </c>
    </row>
    <row r="32" customFormat="false" ht="15" hidden="false" customHeight="false" outlineLevel="0" collapsed="false">
      <c r="B32" s="34" t="n">
        <f aca="false">B31+1</f>
        <v>5</v>
      </c>
      <c r="C32" s="34" t="n">
        <f aca="false">$C$6+B32-1</f>
        <v>36</v>
      </c>
      <c r="D32" s="26" t="n">
        <f aca="false">G31</f>
        <v>197715.17425</v>
      </c>
      <c r="E32" s="26" t="n">
        <f aca="false">IF(C32&lt;$C$7,$C$9*12*(1+$C$10)^(B32-1),0)</f>
        <v>20259.15858</v>
      </c>
      <c r="F32" s="26" t="n">
        <f aca="false">IF(C32&lt;$C$7,(D32+E32/2)*$C$11,(D32)*$C$12)</f>
        <v>14549.1327478</v>
      </c>
      <c r="G32" s="18" t="n">
        <f aca="false">D32+E32+F32</f>
        <v>232523.4655778</v>
      </c>
    </row>
    <row r="33" customFormat="false" ht="15" hidden="false" customHeight="false" outlineLevel="0" collapsed="false">
      <c r="B33" s="34" t="n">
        <f aca="false">B32+1</f>
        <v>6</v>
      </c>
      <c r="C33" s="34" t="n">
        <f aca="false">$C$6+B33-1</f>
        <v>37</v>
      </c>
      <c r="D33" s="26" t="n">
        <f aca="false">G32</f>
        <v>232523.4655778</v>
      </c>
      <c r="E33" s="26" t="n">
        <f aca="false">IF(C33&lt;$C$7,$C$9*12*(1+$C$10)^(B33-1),0)</f>
        <v>20866.9333374</v>
      </c>
      <c r="F33" s="26" t="n">
        <f aca="false">IF(C33&lt;$C$7,(D33+E33/2)*$C$11,(D33)*$C$12)</f>
        <v>17006.985257255</v>
      </c>
      <c r="G33" s="18" t="n">
        <f aca="false">D33+E33+F33</f>
        <v>270397.384172455</v>
      </c>
    </row>
    <row r="34" customFormat="false" ht="15" hidden="false" customHeight="false" outlineLevel="0" collapsed="false">
      <c r="B34" s="34" t="n">
        <f aca="false">B33+1</f>
        <v>7</v>
      </c>
      <c r="C34" s="34" t="n">
        <f aca="false">$C$6+B34-1</f>
        <v>38</v>
      </c>
      <c r="D34" s="26" t="n">
        <f aca="false">G33</f>
        <v>270397.384172455</v>
      </c>
      <c r="E34" s="26" t="n">
        <f aca="false">IF(C34&lt;$C$7,$C$9*12*(1+$C$10)^(B34-1),0)</f>
        <v>21492.941337522</v>
      </c>
      <c r="F34" s="26" t="n">
        <f aca="false">IF(C34&lt;$C$7,(D34+E34/2)*$C$11,(D34)*$C$12)</f>
        <v>19680.0698388851</v>
      </c>
      <c r="G34" s="18" t="n">
        <f aca="false">D34+E34+F34</f>
        <v>311570.395348862</v>
      </c>
    </row>
    <row r="35" customFormat="false" ht="15" hidden="false" customHeight="false" outlineLevel="0" collapsed="false">
      <c r="B35" s="34" t="n">
        <f aca="false">B34+1</f>
        <v>8</v>
      </c>
      <c r="C35" s="34" t="n">
        <f aca="false">$C$6+B35-1</f>
        <v>39</v>
      </c>
      <c r="D35" s="26" t="n">
        <f aca="false">G34</f>
        <v>311570.395348862</v>
      </c>
      <c r="E35" s="26" t="n">
        <f aca="false">IF(C35&lt;$C$7,$C$9*12*(1+$C$10)^(B35-1),0)</f>
        <v>22137.7295776477</v>
      </c>
      <c r="F35" s="26" t="n">
        <f aca="false">IF(C35&lt;$C$7,(D35+E35/2)*$C$11,(D35)*$C$12)</f>
        <v>22584.748209638</v>
      </c>
      <c r="G35" s="18" t="n">
        <f aca="false">D35+E35+F35</f>
        <v>356292.873136148</v>
      </c>
    </row>
    <row r="36" customFormat="false" ht="15" hidden="false" customHeight="false" outlineLevel="0" collapsed="false">
      <c r="B36" s="34" t="n">
        <f aca="false">B35+1</f>
        <v>9</v>
      </c>
      <c r="C36" s="34" t="n">
        <f aca="false">$C$6+B36-1</f>
        <v>40</v>
      </c>
      <c r="D36" s="26" t="n">
        <f aca="false">G35</f>
        <v>356292.873136148</v>
      </c>
      <c r="E36" s="26" t="n">
        <f aca="false">IF(C36&lt;$C$7,$C$9*12*(1+$C$10)^(B36-1),0)</f>
        <v>22801.8614649771</v>
      </c>
      <c r="F36" s="26" t="n">
        <f aca="false">IF(C36&lt;$C$7,(D36+E36/2)*$C$11,(D36)*$C$12)</f>
        <v>25738.5662708046</v>
      </c>
      <c r="G36" s="18" t="n">
        <f aca="false">D36+E36+F36</f>
        <v>404833.300871929</v>
      </c>
    </row>
    <row r="37" customFormat="false" ht="15" hidden="false" customHeight="false" outlineLevel="0" collapsed="false">
      <c r="B37" s="34" t="n">
        <f aca="false">B36+1</f>
        <v>10</v>
      </c>
      <c r="C37" s="34" t="n">
        <f aca="false">$C$6+B37-1</f>
        <v>41</v>
      </c>
      <c r="D37" s="26" t="n">
        <f aca="false">G36</f>
        <v>404833.300871929</v>
      </c>
      <c r="E37" s="26" t="n">
        <f aca="false">IF(C37&lt;$C$7,$C$9*12*(1+$C$10)^(B37-1),0)</f>
        <v>23485.9173089264</v>
      </c>
      <c r="F37" s="26" t="n">
        <f aca="false">IF(C37&lt;$C$7,(D37+E37/2)*$C$11,(D37)*$C$12)</f>
        <v>29160.3381668475</v>
      </c>
      <c r="G37" s="18" t="n">
        <f aca="false">D37+E37+F37</f>
        <v>457479.556347703</v>
      </c>
    </row>
    <row r="38" customFormat="false" ht="15" hidden="false" customHeight="false" outlineLevel="0" collapsed="false">
      <c r="B38" s="34" t="n">
        <f aca="false">B37+1</f>
        <v>11</v>
      </c>
      <c r="C38" s="34" t="n">
        <f aca="false">$C$6+B38-1</f>
        <v>42</v>
      </c>
      <c r="D38" s="26" t="n">
        <f aca="false">G37</f>
        <v>457479.556347703</v>
      </c>
      <c r="E38" s="26" t="n">
        <f aca="false">IF(C38&lt;$C$7,$C$9*12*(1+$C$10)^(B38-1),0)</f>
        <v>24190.4948281942</v>
      </c>
      <c r="F38" s="26" t="n">
        <f aca="false">IF(C38&lt;$C$7,(D38+E38/2)*$C$11,(D38)*$C$12)</f>
        <v>32870.236263326</v>
      </c>
      <c r="G38" s="18" t="n">
        <f aca="false">D38+E38+F38</f>
        <v>514540.287439224</v>
      </c>
    </row>
    <row r="39" customFormat="false" ht="15" hidden="false" customHeight="false" outlineLevel="0" collapsed="false">
      <c r="B39" s="34" t="n">
        <f aca="false">B38+1</f>
        <v>12</v>
      </c>
      <c r="C39" s="34" t="n">
        <f aca="false">$C$6+B39-1</f>
        <v>43</v>
      </c>
      <c r="D39" s="26" t="n">
        <f aca="false">G38</f>
        <v>514540.287439224</v>
      </c>
      <c r="E39" s="26" t="n">
        <f aca="false">IF(C39&lt;$C$7,$C$9*12*(1+$C$10)^(B39-1),0)</f>
        <v>24916.20967304</v>
      </c>
      <c r="F39" s="26" t="n">
        <f aca="false">IF(C39&lt;$C$7,(D39+E39/2)*$C$11,(D39)*$C$12)</f>
        <v>36889.8874593021</v>
      </c>
      <c r="G39" s="18" t="n">
        <f aca="false">D39+E39+F39</f>
        <v>576346.384571566</v>
      </c>
    </row>
    <row r="40" customFormat="false" ht="15" hidden="false" customHeight="false" outlineLevel="0" collapsed="false">
      <c r="B40" s="34" t="n">
        <f aca="false">B39+1</f>
        <v>13</v>
      </c>
      <c r="C40" s="34" t="n">
        <f aca="false">$C$6+B40-1</f>
        <v>44</v>
      </c>
      <c r="D40" s="26" t="n">
        <f aca="false">G39</f>
        <v>576346.384571566</v>
      </c>
      <c r="E40" s="26" t="n">
        <f aca="false">IF(C40&lt;$C$7,$C$9*12*(1+$C$10)^(B40-1),0)</f>
        <v>25663.6959632312</v>
      </c>
      <c r="F40" s="26" t="n">
        <f aca="false">IF(C40&lt;$C$7,(D40+E40/2)*$C$11,(D40)*$C$12)</f>
        <v>41242.4762787227</v>
      </c>
      <c r="G40" s="18" t="n">
        <f aca="false">D40+E40+F40</f>
        <v>643252.55681352</v>
      </c>
    </row>
    <row r="41" customFormat="false" ht="15" hidden="false" customHeight="false" outlineLevel="0" collapsed="false">
      <c r="B41" s="34" t="n">
        <f aca="false">B40+1</f>
        <v>14</v>
      </c>
      <c r="C41" s="34" t="n">
        <f aca="false">$C$6+B41-1</f>
        <v>45</v>
      </c>
      <c r="D41" s="26" t="n">
        <f aca="false">G40</f>
        <v>643252.55681352</v>
      </c>
      <c r="E41" s="26" t="n">
        <f aca="false">IF(C41&lt;$C$7,$C$9*12*(1+$C$10)^(B41-1),0)</f>
        <v>26433.6068421282</v>
      </c>
      <c r="F41" s="26" t="n">
        <f aca="false">IF(C41&lt;$C$7,(D41+E41/2)*$C$11,(D41)*$C$12)</f>
        <v>45952.8552164209</v>
      </c>
      <c r="G41" s="18" t="n">
        <f aca="false">D41+E41+F41</f>
        <v>715639.018872069</v>
      </c>
    </row>
    <row r="42" customFormat="false" ht="15" hidden="false" customHeight="false" outlineLevel="0" collapsed="false">
      <c r="B42" s="34" t="n">
        <f aca="false">B41+1</f>
        <v>15</v>
      </c>
      <c r="C42" s="34" t="n">
        <f aca="false">$C$6+B42-1</f>
        <v>46</v>
      </c>
      <c r="D42" s="26" t="n">
        <f aca="false">G41</f>
        <v>715639.018872069</v>
      </c>
      <c r="E42" s="26" t="n">
        <f aca="false">IF(C42&lt;$C$7,$C$9*12*(1+$C$10)^(B42-1),0)</f>
        <v>27226.615047392</v>
      </c>
      <c r="F42" s="26" t="n">
        <f aca="false">IF(C42&lt;$C$7,(D42+E42/2)*$C$11,(D42)*$C$12)</f>
        <v>51047.6628477035</v>
      </c>
      <c r="G42" s="18" t="n">
        <f aca="false">D42+E42+F42</f>
        <v>793913.296767164</v>
      </c>
    </row>
    <row r="43" customFormat="false" ht="15" hidden="false" customHeight="false" outlineLevel="0" collapsed="false">
      <c r="B43" s="34" t="n">
        <f aca="false">B42+1</f>
        <v>16</v>
      </c>
      <c r="C43" s="34" t="n">
        <f aca="false">$C$6+B43-1</f>
        <v>47</v>
      </c>
      <c r="D43" s="26" t="n">
        <f aca="false">G42</f>
        <v>793913.296767164</v>
      </c>
      <c r="E43" s="26" t="n">
        <f aca="false">IF(C43&lt;$C$7,$C$9*12*(1+$C$10)^(B43-1),0)</f>
        <v>28043.4134988138</v>
      </c>
      <c r="F43" s="26" t="n">
        <f aca="false">IF(C43&lt;$C$7,(D43+E43/2)*$C$11,(D43)*$C$12)</f>
        <v>56555.45024616</v>
      </c>
      <c r="G43" s="18" t="n">
        <f aca="false">D43+E43+F43</f>
        <v>878512.160512138</v>
      </c>
    </row>
    <row r="44" customFormat="false" ht="15" hidden="false" customHeight="false" outlineLevel="0" collapsed="false">
      <c r="B44" s="34" t="n">
        <f aca="false">B43+1</f>
        <v>17</v>
      </c>
      <c r="C44" s="34" t="n">
        <f aca="false">$C$6+B44-1</f>
        <v>48</v>
      </c>
      <c r="D44" s="26" t="n">
        <f aca="false">G43</f>
        <v>878512.160512138</v>
      </c>
      <c r="E44" s="26" t="n">
        <f aca="false">IF(C44&lt;$C$7,$C$9*12*(1+$C$10)^(B44-1),0)</f>
        <v>28884.7159037782</v>
      </c>
      <c r="F44" s="26" t="n">
        <f aca="false">IF(C44&lt;$C$7,(D44+E44/2)*$C$11,(D44)*$C$12)</f>
        <v>62506.8162924819</v>
      </c>
      <c r="G44" s="18" t="n">
        <f aca="false">D44+E44+F44</f>
        <v>969903.692708398</v>
      </c>
    </row>
    <row r="45" customFormat="false" ht="15" hidden="false" customHeight="false" outlineLevel="0" collapsed="false">
      <c r="B45" s="34" t="n">
        <f aca="false">B44+1</f>
        <v>18</v>
      </c>
      <c r="C45" s="34" t="n">
        <f aca="false">$C$6+B45-1</f>
        <v>49</v>
      </c>
      <c r="D45" s="26" t="n">
        <f aca="false">G44</f>
        <v>969903.692708398</v>
      </c>
      <c r="E45" s="26" t="n">
        <f aca="false">IF(C45&lt;$C$7,$C$9*12*(1+$C$10)^(B45-1),0)</f>
        <v>29751.2573808915</v>
      </c>
      <c r="F45" s="26" t="n">
        <f aca="false">IF(C45&lt;$C$7,(D45+E45/2)*$C$11,(D45)*$C$12)</f>
        <v>68934.5524979191</v>
      </c>
      <c r="G45" s="18" t="n">
        <f aca="false">D45+E45+F45</f>
        <v>1068589.50258721</v>
      </c>
    </row>
    <row r="46" customFormat="false" ht="15" hidden="false" customHeight="false" outlineLevel="0" collapsed="false">
      <c r="B46" s="34" t="n">
        <f aca="false">B45+1</f>
        <v>19</v>
      </c>
      <c r="C46" s="34" t="n">
        <f aca="false">$C$6+B46-1</f>
        <v>50</v>
      </c>
      <c r="D46" s="26" t="n">
        <f aca="false">G45</f>
        <v>1068589.50258721</v>
      </c>
      <c r="E46" s="26" t="n">
        <f aca="false">IF(C46&lt;$C$7,$C$9*12*(1+$C$10)^(B46-1),0)</f>
        <v>30643.7951023183</v>
      </c>
      <c r="F46" s="26" t="n">
        <f aca="false">IF(C46&lt;$C$7,(D46+E46/2)*$C$11,(D46)*$C$12)</f>
        <v>75873.7980096858</v>
      </c>
      <c r="G46" s="18" t="n">
        <f aca="false">D46+E46+F46</f>
        <v>1175107.09569921</v>
      </c>
    </row>
    <row r="47" customFormat="false" ht="15" hidden="false" customHeight="false" outlineLevel="0" collapsed="false">
      <c r="B47" s="34" t="n">
        <f aca="false">B46+1</f>
        <v>20</v>
      </c>
      <c r="C47" s="34" t="n">
        <f aca="false">$C$6+B47-1</f>
        <v>51</v>
      </c>
      <c r="D47" s="26" t="n">
        <f aca="false">G46</f>
        <v>1175107.09569921</v>
      </c>
      <c r="E47" s="26" t="n">
        <f aca="false">IF(C47&lt;$C$7,$C$9*12*(1+$C$10)^(B47-1),0)</f>
        <v>31563.1089553878</v>
      </c>
      <c r="F47" s="26" t="n">
        <f aca="false">IF(C47&lt;$C$7,(D47+E47/2)*$C$11,(D47)*$C$12)</f>
        <v>83362.2055123835</v>
      </c>
      <c r="G47" s="18" t="n">
        <f aca="false">D47+E47+F47</f>
        <v>1290032.41016698</v>
      </c>
    </row>
    <row r="48" customFormat="false" ht="15" hidden="false" customHeight="false" outlineLevel="0" collapsed="false">
      <c r="B48" s="34" t="n">
        <f aca="false">B47+1</f>
        <v>21</v>
      </c>
      <c r="C48" s="34" t="n">
        <f aca="false">$C$6+B48-1</f>
        <v>52</v>
      </c>
      <c r="D48" s="26" t="n">
        <f aca="false">G47</f>
        <v>1290032.41016698</v>
      </c>
      <c r="E48" s="26" t="n">
        <f aca="false">IF(C48&lt;$C$7,$C$9*12*(1+$C$10)^(B48-1),0)</f>
        <v>32510.0022240495</v>
      </c>
      <c r="F48" s="26" t="n">
        <f aca="false">IF(C48&lt;$C$7,(D48+E48/2)*$C$11,(D48)*$C$12)</f>
        <v>91440.1187895306</v>
      </c>
      <c r="G48" s="18" t="n">
        <f aca="false">D48+E48+F48</f>
        <v>1413982.53118056</v>
      </c>
    </row>
    <row r="49" customFormat="false" ht="15" hidden="false" customHeight="false" outlineLevel="0" collapsed="false">
      <c r="B49" s="34" t="n">
        <f aca="false">B48+1</f>
        <v>22</v>
      </c>
      <c r="C49" s="34" t="n">
        <f aca="false">$C$6+B49-1</f>
        <v>53</v>
      </c>
      <c r="D49" s="26" t="n">
        <f aca="false">G48</f>
        <v>1413982.53118056</v>
      </c>
      <c r="E49" s="26" t="n">
        <f aca="false">IF(C49&lt;$C$7,$C$9*12*(1+$C$10)^(B49-1),0)</f>
        <v>33485.302290771</v>
      </c>
      <c r="F49" s="26" t="n">
        <f aca="false">IF(C49&lt;$C$7,(D49+E49/2)*$C$11,(D49)*$C$12)</f>
        <v>100150.762762817</v>
      </c>
      <c r="G49" s="18" t="n">
        <f aca="false">D49+E49+F49</f>
        <v>1547618.59623415</v>
      </c>
    </row>
    <row r="50" customFormat="false" ht="15" hidden="false" customHeight="false" outlineLevel="0" collapsed="false">
      <c r="B50" s="34" t="n">
        <f aca="false">B49+1</f>
        <v>23</v>
      </c>
      <c r="C50" s="34" t="n">
        <f aca="false">$C$6+B50-1</f>
        <v>54</v>
      </c>
      <c r="D50" s="26" t="n">
        <f aca="false">G49</f>
        <v>1547618.59623415</v>
      </c>
      <c r="E50" s="26" t="n">
        <f aca="false">IF(C50&lt;$C$7,$C$9*12*(1+$C$10)^(B50-1),0)</f>
        <v>34489.8613594941</v>
      </c>
      <c r="F50" s="26" t="n">
        <f aca="false">IF(C50&lt;$C$7,(D50+E50/2)*$C$11,(D50)*$C$12)</f>
        <v>109540.446883973</v>
      </c>
      <c r="G50" s="18" t="n">
        <f aca="false">D50+E50+F50</f>
        <v>1691648.90447762</v>
      </c>
    </row>
    <row r="51" customFormat="false" ht="15" hidden="false" customHeight="false" outlineLevel="0" collapsed="false">
      <c r="B51" s="34" t="n">
        <f aca="false">B50+1</f>
        <v>24</v>
      </c>
      <c r="C51" s="34" t="n">
        <f aca="false">$C$6+B51-1</f>
        <v>55</v>
      </c>
      <c r="D51" s="26" t="n">
        <f aca="false">G50</f>
        <v>1691648.90447762</v>
      </c>
      <c r="E51" s="26" t="n">
        <f aca="false">IF(C51&lt;$C$7,$C$9*12*(1+$C$10)^(B51-1),0)</f>
        <v>35524.5572002789</v>
      </c>
      <c r="F51" s="26" t="n">
        <f aca="false">IF(C51&lt;$C$7,(D51+E51/2)*$C$11,(D51)*$C$12)</f>
        <v>119658.782815443</v>
      </c>
      <c r="G51" s="18" t="n">
        <f aca="false">D51+E51+F51</f>
        <v>1846832.24449334</v>
      </c>
    </row>
    <row r="52" customFormat="false" ht="15" hidden="false" customHeight="false" outlineLevel="0" collapsed="false">
      <c r="B52" s="34" t="n">
        <f aca="false">B51+1</f>
        <v>25</v>
      </c>
      <c r="C52" s="34" t="n">
        <f aca="false">$C$6+B52-1</f>
        <v>56</v>
      </c>
      <c r="D52" s="26" t="n">
        <f aca="false">G51</f>
        <v>1846832.24449334</v>
      </c>
      <c r="E52" s="26" t="n">
        <f aca="false">IF(C52&lt;$C$7,$C$9*12*(1+$C$10)^(B52-1),0)</f>
        <v>36590.2939162873</v>
      </c>
      <c r="F52" s="26" t="n">
        <f aca="false">IF(C52&lt;$C$7,(D52+E52/2)*$C$11,(D52)*$C$12)</f>
        <v>130558.917401604</v>
      </c>
      <c r="G52" s="18" t="n">
        <f aca="false">D52+E52+F52</f>
        <v>2013981.45581123</v>
      </c>
    </row>
    <row r="53" customFormat="false" ht="15" hidden="false" customHeight="false" outlineLevel="0" collapsed="false">
      <c r="B53" s="34" t="n">
        <f aca="false">B52+1</f>
        <v>26</v>
      </c>
      <c r="C53" s="34" t="n">
        <f aca="false">$C$6+B53-1</f>
        <v>57</v>
      </c>
      <c r="D53" s="26" t="n">
        <f aca="false">G52</f>
        <v>2013981.45581123</v>
      </c>
      <c r="E53" s="26" t="n">
        <f aca="false">IF(C53&lt;$C$7,$C$9*12*(1+$C$10)^(B53-1),0)</f>
        <v>37688.0027337759</v>
      </c>
      <c r="F53" s="26" t="n">
        <f aca="false">IF(C53&lt;$C$7,(D53+E53/2)*$C$11,(D53)*$C$12)</f>
        <v>142297.782002468</v>
      </c>
      <c r="G53" s="18" t="n">
        <f aca="false">D53+E53+F53</f>
        <v>2193967.24054748</v>
      </c>
    </row>
    <row r="54" customFormat="false" ht="15" hidden="false" customHeight="false" outlineLevel="0" collapsed="false">
      <c r="B54" s="34" t="n">
        <f aca="false">B53+1</f>
        <v>27</v>
      </c>
      <c r="C54" s="34" t="n">
        <f aca="false">$C$6+B54-1</f>
        <v>58</v>
      </c>
      <c r="D54" s="26" t="n">
        <f aca="false">G53</f>
        <v>2193967.24054748</v>
      </c>
      <c r="E54" s="26" t="n">
        <f aca="false">IF(C54&lt;$C$7,$C$9*12*(1+$C$10)^(B54-1),0)</f>
        <v>38818.6428157892</v>
      </c>
      <c r="F54" s="26" t="n">
        <f aca="false">IF(C54&lt;$C$7,(D54+E54/2)*$C$11,(D54)*$C$12)</f>
        <v>154936.359336876</v>
      </c>
      <c r="G54" s="18" t="n">
        <f aca="false">D54+E54+F54</f>
        <v>2387722.24270014</v>
      </c>
    </row>
    <row r="55" customFormat="false" ht="15" hidden="false" customHeight="false" outlineLevel="0" collapsed="false">
      <c r="B55" s="34" t="n">
        <f aca="false">B54+1</f>
        <v>28</v>
      </c>
      <c r="C55" s="34" t="n">
        <f aca="false">$C$6+B55-1</f>
        <v>59</v>
      </c>
      <c r="D55" s="26" t="n">
        <f aca="false">G54</f>
        <v>2387722.24270014</v>
      </c>
      <c r="E55" s="26" t="n">
        <f aca="false">IF(C55&lt;$C$7,$C$9*12*(1+$C$10)^(B55-1),0)</f>
        <v>39983.2021002628</v>
      </c>
      <c r="F55" s="26" t="n">
        <f aca="false">IF(C55&lt;$C$7,(D55+E55/2)*$C$11,(D55)*$C$12)</f>
        <v>168539.969062519</v>
      </c>
      <c r="G55" s="18" t="n">
        <f aca="false">D55+E55+F55</f>
        <v>2596245.41386292</v>
      </c>
    </row>
    <row r="56" customFormat="false" ht="15" hidden="false" customHeight="false" outlineLevel="0" collapsed="false">
      <c r="B56" s="34" t="n">
        <f aca="false">B55+1</f>
        <v>29</v>
      </c>
      <c r="C56" s="34" t="n">
        <f aca="false">$C$6+B56-1</f>
        <v>60</v>
      </c>
      <c r="D56" s="26" t="n">
        <f aca="false">G55</f>
        <v>2596245.41386292</v>
      </c>
      <c r="E56" s="26" t="n">
        <f aca="false">IF(C56&lt;$C$7,$C$9*12*(1+$C$10)^(B56-1),0)</f>
        <v>0</v>
      </c>
      <c r="F56" s="26" t="n">
        <f aca="false">IF(C56&lt;$C$7,(D56+E56/2)*$C$11,(D56)*$C$12)</f>
        <v>116831.043623832</v>
      </c>
      <c r="G56" s="18" t="n">
        <f aca="false">D56+E56+F56</f>
        <v>2713076.45748676</v>
      </c>
    </row>
    <row r="57" customFormat="false" ht="15" hidden="false" customHeight="false" outlineLevel="0" collapsed="false">
      <c r="B57" s="34" t="n">
        <f aca="false">B56+1</f>
        <v>30</v>
      </c>
      <c r="C57" s="34" t="n">
        <f aca="false">$C$6+B57-1</f>
        <v>61</v>
      </c>
      <c r="D57" s="26" t="n">
        <f aca="false">G56</f>
        <v>2713076.45748676</v>
      </c>
      <c r="E57" s="26" t="n">
        <f aca="false">IF(C57&lt;$C$7,$C$9*12*(1+$C$10)^(B57-1),0)</f>
        <v>0</v>
      </c>
      <c r="F57" s="26" t="n">
        <f aca="false">IF(C57&lt;$C$7,(D57+E57/2)*$C$11,(D57)*$C$12)</f>
        <v>122088.440586904</v>
      </c>
      <c r="G57" s="18" t="n">
        <f aca="false">D57+E57+F57</f>
        <v>2835164.89807366</v>
      </c>
    </row>
    <row r="58" customFormat="false" ht="15" hidden="false" customHeight="false" outlineLevel="0" collapsed="false">
      <c r="B58" s="34" t="n">
        <f aca="false">B57+1</f>
        <v>31</v>
      </c>
      <c r="C58" s="34" t="n">
        <f aca="false">$C$6+B58-1</f>
        <v>62</v>
      </c>
      <c r="D58" s="26" t="n">
        <f aca="false">G57</f>
        <v>2835164.89807366</v>
      </c>
      <c r="E58" s="26" t="n">
        <f aca="false">IF(C58&lt;$C$7,$C$9*12*(1+$C$10)^(B58-1),0)</f>
        <v>0</v>
      </c>
      <c r="F58" s="26" t="n">
        <f aca="false">IF(C58&lt;$C$7,(D58+E58/2)*$C$11,(D58)*$C$12)</f>
        <v>127582.420413315</v>
      </c>
      <c r="G58" s="18" t="n">
        <f aca="false">D58+E58+F58</f>
        <v>2962747.31848697</v>
      </c>
    </row>
    <row r="59" customFormat="false" ht="15" hidden="false" customHeight="false" outlineLevel="0" collapsed="false">
      <c r="B59" s="34" t="n">
        <f aca="false">B58+1</f>
        <v>32</v>
      </c>
      <c r="C59" s="34" t="n">
        <f aca="false">$C$6+B59-1</f>
        <v>63</v>
      </c>
      <c r="D59" s="26" t="n">
        <f aca="false">G58</f>
        <v>2962747.31848697</v>
      </c>
      <c r="E59" s="26" t="n">
        <f aca="false">IF(C59&lt;$C$7,$C$9*12*(1+$C$10)^(B59-1),0)</f>
        <v>0</v>
      </c>
      <c r="F59" s="26" t="n">
        <f aca="false">IF(C59&lt;$C$7,(D59+E59/2)*$C$11,(D59)*$C$12)</f>
        <v>133323.629331914</v>
      </c>
      <c r="G59" s="18" t="n">
        <f aca="false">D59+E59+F59</f>
        <v>3096070.94781889</v>
      </c>
    </row>
    <row r="60" customFormat="false" ht="15" hidden="false" customHeight="false" outlineLevel="0" collapsed="false">
      <c r="B60" s="34" t="n">
        <f aca="false">B59+1</f>
        <v>33</v>
      </c>
      <c r="C60" s="34" t="n">
        <f aca="false">$C$6+B60-1</f>
        <v>64</v>
      </c>
      <c r="D60" s="26" t="n">
        <f aca="false">G59</f>
        <v>3096070.94781889</v>
      </c>
      <c r="E60" s="26" t="n">
        <f aca="false">IF(C60&lt;$C$7,$C$9*12*(1+$C$10)^(B60-1),0)</f>
        <v>0</v>
      </c>
      <c r="F60" s="26" t="n">
        <f aca="false">IF(C60&lt;$C$7,(D60+E60/2)*$C$11,(D60)*$C$12)</f>
        <v>139323.19265185</v>
      </c>
      <c r="G60" s="18" t="n">
        <f aca="false">D60+E60+F60</f>
        <v>3235394.14047074</v>
      </c>
    </row>
    <row r="61" customFormat="false" ht="15" hidden="false" customHeight="false" outlineLevel="0" collapsed="false">
      <c r="B61" s="34" t="n">
        <f aca="false">B60+1</f>
        <v>34</v>
      </c>
      <c r="C61" s="34" t="n">
        <f aca="false">$C$6+B61-1</f>
        <v>65</v>
      </c>
      <c r="D61" s="26" t="n">
        <f aca="false">G60</f>
        <v>3235394.14047074</v>
      </c>
      <c r="E61" s="26" t="n">
        <f aca="false">IF(C61&lt;$C$7,$C$9*12*(1+$C$10)^(B61-1),0)</f>
        <v>0</v>
      </c>
      <c r="F61" s="26" t="n">
        <f aca="false">IF(C61&lt;$C$7,(D61+E61/2)*$C$11,(D61)*$C$12)</f>
        <v>145592.736321183</v>
      </c>
      <c r="G61" s="18" t="n">
        <f aca="false">D61+E61+F61</f>
        <v>3380986.87679192</v>
      </c>
    </row>
    <row r="62" customFormat="false" ht="15" hidden="false" customHeight="false" outlineLevel="0" collapsed="false">
      <c r="B62" s="34" t="n">
        <f aca="false">B61+1</f>
        <v>35</v>
      </c>
      <c r="C62" s="34" t="n">
        <f aca="false">$C$6+B62-1</f>
        <v>66</v>
      </c>
      <c r="D62" s="26" t="n">
        <f aca="false">G61</f>
        <v>3380986.87679192</v>
      </c>
      <c r="E62" s="26" t="n">
        <f aca="false">IF(C62&lt;$C$7,$C$9*12*(1+$C$10)^(B62-1),0)</f>
        <v>0</v>
      </c>
      <c r="F62" s="26" t="n">
        <f aca="false">IF(C62&lt;$C$7,(D62+E62/2)*$C$11,(D62)*$C$12)</f>
        <v>152144.409455636</v>
      </c>
      <c r="G62" s="18" t="n">
        <f aca="false">D62+E62+F62</f>
        <v>3533131.28624756</v>
      </c>
    </row>
    <row r="63" customFormat="false" ht="15" hidden="false" customHeight="false" outlineLevel="0" collapsed="false">
      <c r="B63" s="34" t="n">
        <f aca="false">B62+1</f>
        <v>36</v>
      </c>
      <c r="C63" s="34" t="n">
        <f aca="false">$C$6+B63-1</f>
        <v>67</v>
      </c>
      <c r="D63" s="26" t="n">
        <f aca="false">G62</f>
        <v>3533131.28624756</v>
      </c>
      <c r="E63" s="26" t="n">
        <f aca="false">IF(C63&lt;$C$7,$C$9*12*(1+$C$10)^(B63-1),0)</f>
        <v>0</v>
      </c>
      <c r="F63" s="26" t="n">
        <f aca="false">IF(C63&lt;$C$7,(D63+E63/2)*$C$11,(D63)*$C$12)</f>
        <v>158990.90788114</v>
      </c>
      <c r="G63" s="18" t="n">
        <f aca="false">D63+E63+F63</f>
        <v>3692122.1941287</v>
      </c>
    </row>
    <row r="64" customFormat="false" ht="15" hidden="false" customHeight="false" outlineLevel="0" collapsed="false">
      <c r="B64" s="34" t="n">
        <f aca="false">B63+1</f>
        <v>37</v>
      </c>
      <c r="C64" s="34" t="n">
        <f aca="false">$C$6+B64-1</f>
        <v>68</v>
      </c>
      <c r="D64" s="26" t="n">
        <f aca="false">G63</f>
        <v>3692122.1941287</v>
      </c>
      <c r="E64" s="26" t="n">
        <f aca="false">IF(C64&lt;$C$7,$C$9*12*(1+$C$10)^(B64-1),0)</f>
        <v>0</v>
      </c>
      <c r="F64" s="26" t="n">
        <f aca="false">IF(C64&lt;$C$7,(D64+E64/2)*$C$11,(D64)*$C$12)</f>
        <v>166145.498735791</v>
      </c>
      <c r="G64" s="18" t="n">
        <f aca="false">D64+E64+F64</f>
        <v>3858267.69286449</v>
      </c>
    </row>
    <row r="65" customFormat="false" ht="15" hidden="false" customHeight="false" outlineLevel="0" collapsed="false">
      <c r="B65" s="34" t="n">
        <f aca="false">B64+1</f>
        <v>38</v>
      </c>
      <c r="C65" s="34" t="n">
        <f aca="false">$C$6+B65-1</f>
        <v>69</v>
      </c>
      <c r="D65" s="26" t="n">
        <f aca="false">G64</f>
        <v>3858267.69286449</v>
      </c>
      <c r="E65" s="26" t="n">
        <f aca="false">IF(C65&lt;$C$7,$C$9*12*(1+$C$10)^(B65-1),0)</f>
        <v>0</v>
      </c>
      <c r="F65" s="26" t="n">
        <f aca="false">IF(C65&lt;$C$7,(D65+E65/2)*$C$11,(D65)*$C$12)</f>
        <v>173622.046178902</v>
      </c>
      <c r="G65" s="18" t="n">
        <f aca="false">D65+E65+F65</f>
        <v>4031889.73904339</v>
      </c>
    </row>
    <row r="66" customFormat="false" ht="15" hidden="false" customHeight="false" outlineLevel="0" collapsed="false">
      <c r="B66" s="34" t="n">
        <f aca="false">B65+1</f>
        <v>39</v>
      </c>
      <c r="C66" s="34" t="n">
        <f aca="false">$C$6+B66-1</f>
        <v>70</v>
      </c>
      <c r="D66" s="26" t="n">
        <f aca="false">G65</f>
        <v>4031889.73904339</v>
      </c>
      <c r="E66" s="26" t="n">
        <f aca="false">IF(C66&lt;$C$7,$C$9*12*(1+$C$10)^(B66-1),0)</f>
        <v>0</v>
      </c>
      <c r="F66" s="26" t="n">
        <f aca="false">IF(C66&lt;$C$7,(D66+E66/2)*$C$11,(D66)*$C$12)</f>
        <v>181435.038256953</v>
      </c>
      <c r="G66" s="18" t="n">
        <f aca="false">D66+E66+F66</f>
        <v>4213324.77730034</v>
      </c>
    </row>
    <row r="67" customFormat="false" ht="15" hidden="false" customHeight="false" outlineLevel="0" collapsed="false">
      <c r="B67" s="34" t="n">
        <f aca="false">B66+1</f>
        <v>40</v>
      </c>
      <c r="C67" s="34" t="n">
        <f aca="false">$C$6+B67-1</f>
        <v>71</v>
      </c>
      <c r="D67" s="26" t="n">
        <f aca="false">G66</f>
        <v>4213324.77730034</v>
      </c>
      <c r="E67" s="26" t="n">
        <f aca="false">IF(C67&lt;$C$7,$C$9*12*(1+$C$10)^(B67-1),0)</f>
        <v>0</v>
      </c>
      <c r="F67" s="26" t="n">
        <f aca="false">IF(C67&lt;$C$7,(D67+E67/2)*$C$11,(D67)*$C$12)</f>
        <v>189599.614978515</v>
      </c>
      <c r="G67" s="18" t="n">
        <f aca="false">D67+E67+F67</f>
        <v>4402924.39227886</v>
      </c>
    </row>
    <row r="69" customFormat="false" ht="49.5" hidden="false" customHeight="true" outlineLevel="0" collapsed="false">
      <c r="B69" s="37" t="s">
        <v>163</v>
      </c>
      <c r="C69" s="37"/>
      <c r="D69" s="37"/>
      <c r="E69" s="37"/>
      <c r="F69" s="37"/>
      <c r="G69" s="37"/>
      <c r="H69" s="37"/>
      <c r="I69" s="37"/>
    </row>
  </sheetData>
  <mergeCells count="6">
    <mergeCell ref="B2:I2"/>
    <mergeCell ref="B3:I3"/>
    <mergeCell ref="B5:I5"/>
    <mergeCell ref="B17:I17"/>
    <mergeCell ref="B26:I26"/>
    <mergeCell ref="B69:I69"/>
  </mergeCells>
  <conditionalFormatting sqref="C23">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7" min="3" style="0" width="13"/>
    <col collapsed="false" customWidth="true" hidden="false" outlineLevel="0" max="9" min="8" style="0" width="16"/>
    <col collapsed="false" customWidth="true" hidden="false" outlineLevel="0" max="10" min="10" style="0" width="13"/>
  </cols>
  <sheetData>
    <row r="2" customFormat="false" ht="27.75" hidden="false" customHeight="true" outlineLevel="0" collapsed="false">
      <c r="B2" s="11" t="s">
        <v>164</v>
      </c>
      <c r="C2" s="11"/>
      <c r="D2" s="11"/>
      <c r="E2" s="11"/>
      <c r="F2" s="11"/>
      <c r="G2" s="11"/>
      <c r="H2" s="11"/>
      <c r="I2" s="11"/>
      <c r="J2" s="11"/>
    </row>
    <row r="3" customFormat="false" ht="15" hidden="false" customHeight="false" outlineLevel="0" collapsed="false">
      <c r="B3" s="12" t="s">
        <v>165</v>
      </c>
      <c r="C3" s="12"/>
      <c r="D3" s="12"/>
      <c r="E3" s="12"/>
      <c r="F3" s="12"/>
      <c r="G3" s="12"/>
      <c r="H3" s="12"/>
      <c r="I3" s="12"/>
      <c r="J3" s="12"/>
    </row>
    <row r="5" customFormat="false" ht="19.5" hidden="false" customHeight="true" outlineLevel="0" collapsed="false">
      <c r="B5" s="13" t="s">
        <v>166</v>
      </c>
      <c r="C5" s="13"/>
      <c r="D5" s="13"/>
      <c r="E5" s="13"/>
      <c r="F5" s="13"/>
      <c r="G5" s="13"/>
      <c r="H5" s="13"/>
      <c r="I5" s="13"/>
      <c r="J5" s="13"/>
    </row>
    <row r="6" customFormat="false" ht="23.85" hidden="false" customHeight="false" outlineLevel="0" collapsed="false">
      <c r="B6" s="15" t="s">
        <v>167</v>
      </c>
      <c r="C6" s="15" t="s">
        <v>168</v>
      </c>
      <c r="D6" s="15" t="s">
        <v>169</v>
      </c>
      <c r="E6" s="15" t="s">
        <v>170</v>
      </c>
      <c r="F6" s="15" t="s">
        <v>171</v>
      </c>
      <c r="G6" s="15" t="s">
        <v>172</v>
      </c>
      <c r="H6" s="15" t="s">
        <v>173</v>
      </c>
      <c r="I6" s="15" t="s">
        <v>174</v>
      </c>
      <c r="J6" s="15" t="s">
        <v>175</v>
      </c>
    </row>
    <row r="7" customFormat="false" ht="15" hidden="false" customHeight="false" outlineLevel="0" collapsed="false">
      <c r="B7" s="32" t="s">
        <v>176</v>
      </c>
      <c r="C7" s="38" t="n">
        <v>120</v>
      </c>
      <c r="D7" s="17" t="n">
        <v>18000</v>
      </c>
      <c r="E7" s="17" t="n">
        <v>15200</v>
      </c>
      <c r="F7" s="26" t="n">
        <f aca="false">D7-C7</f>
        <v>17880</v>
      </c>
      <c r="G7" s="38" t="n">
        <v>410</v>
      </c>
      <c r="H7" s="43" t="str">
        <f aca="false">IF(G7&gt;365,"Long-Term","Short-Term")</f>
        <v>Long-Term</v>
      </c>
      <c r="I7" s="43" t="str">
        <f aca="false">IF(F7&lt;0,"Harvest Candidate","Hold")</f>
        <v>Hold</v>
      </c>
      <c r="J7" s="26" t="n">
        <f aca="false">IF(I7="Harvest Candidate",F7,0)</f>
        <v>0</v>
      </c>
    </row>
    <row r="8" customFormat="false" ht="15" hidden="false" customHeight="false" outlineLevel="0" collapsed="false">
      <c r="B8" s="32" t="s">
        <v>177</v>
      </c>
      <c r="C8" s="38" t="n">
        <v>80</v>
      </c>
      <c r="D8" s="17" t="n">
        <v>9200</v>
      </c>
      <c r="E8" s="17" t="n">
        <v>7850</v>
      </c>
      <c r="F8" s="26" t="n">
        <f aca="false">D8-C8</f>
        <v>9120</v>
      </c>
      <c r="G8" s="38" t="n">
        <v>200</v>
      </c>
      <c r="H8" s="43" t="str">
        <f aca="false">IF(G8&gt;365,"Long-Term","Short-Term")</f>
        <v>Short-Term</v>
      </c>
      <c r="I8" s="43" t="str">
        <f aca="false">IF(F8&lt;0,"Harvest Candidate","Hold")</f>
        <v>Hold</v>
      </c>
      <c r="J8" s="26" t="n">
        <f aca="false">IF(I8="Harvest Candidate",F8,0)</f>
        <v>0</v>
      </c>
    </row>
    <row r="9" customFormat="false" ht="15" hidden="false" customHeight="false" outlineLevel="0" collapsed="false">
      <c r="B9" s="32" t="s">
        <v>178</v>
      </c>
      <c r="C9" s="38" t="n">
        <v>200</v>
      </c>
      <c r="D9" s="17" t="n">
        <v>14000</v>
      </c>
      <c r="E9" s="17" t="n">
        <v>16100</v>
      </c>
      <c r="F9" s="26" t="n">
        <f aca="false">D9-C9</f>
        <v>13800</v>
      </c>
      <c r="G9" s="38" t="n">
        <v>600</v>
      </c>
      <c r="H9" s="43" t="str">
        <f aca="false">IF(G9&gt;365,"Long-Term","Short-Term")</f>
        <v>Long-Term</v>
      </c>
      <c r="I9" s="43" t="str">
        <f aca="false">IF(F9&lt;0,"Harvest Candidate","Hold")</f>
        <v>Hold</v>
      </c>
      <c r="J9" s="26" t="n">
        <f aca="false">IF(I9="Harvest Candidate",F9,0)</f>
        <v>0</v>
      </c>
    </row>
    <row r="10" customFormat="false" ht="15" hidden="false" customHeight="false" outlineLevel="0" collapsed="false">
      <c r="B10" s="32" t="s">
        <v>179</v>
      </c>
      <c r="C10" s="38" t="n">
        <v>300</v>
      </c>
      <c r="D10" s="17" t="n">
        <v>21000</v>
      </c>
      <c r="E10" s="17" t="n">
        <v>20400</v>
      </c>
      <c r="F10" s="26" t="n">
        <f aca="false">D10-C10</f>
        <v>20700</v>
      </c>
      <c r="G10" s="38" t="n">
        <v>800</v>
      </c>
      <c r="H10" s="43" t="str">
        <f aca="false">IF(G10&gt;365,"Long-Term","Short-Term")</f>
        <v>Long-Term</v>
      </c>
      <c r="I10" s="43" t="str">
        <f aca="false">IF(F10&lt;0,"Harvest Candidate","Hold")</f>
        <v>Hold</v>
      </c>
      <c r="J10" s="26" t="n">
        <f aca="false">IF(I10="Harvest Candidate",F10,0)</f>
        <v>0</v>
      </c>
    </row>
    <row r="11" customFormat="false" ht="15" hidden="false" customHeight="false" outlineLevel="0" collapsed="false">
      <c r="B11" s="32" t="s">
        <v>180</v>
      </c>
      <c r="C11" s="38" t="n">
        <v>150</v>
      </c>
      <c r="D11" s="17" t="n">
        <v>11500</v>
      </c>
      <c r="E11" s="17" t="n">
        <v>9100</v>
      </c>
      <c r="F11" s="26" t="n">
        <f aca="false">D11-C11</f>
        <v>11350</v>
      </c>
      <c r="G11" s="38" t="n">
        <v>95</v>
      </c>
      <c r="H11" s="43" t="str">
        <f aca="false">IF(G11&gt;365,"Long-Term","Short-Term")</f>
        <v>Short-Term</v>
      </c>
      <c r="I11" s="43" t="str">
        <f aca="false">IF(F11&lt;0,"Harvest Candidate","Hold")</f>
        <v>Hold</v>
      </c>
      <c r="J11" s="26" t="n">
        <f aca="false">IF(I11="Harvest Candidate",F11,0)</f>
        <v>0</v>
      </c>
    </row>
    <row r="12" customFormat="false" ht="15" hidden="false" customHeight="false" outlineLevel="0" collapsed="false">
      <c r="B12" s="19" t="s">
        <v>123</v>
      </c>
      <c r="C12" s="36"/>
      <c r="D12" s="20" t="n">
        <f aca="false">SUM(D7:D11)</f>
        <v>73700</v>
      </c>
      <c r="E12" s="20" t="n">
        <f aca="false">SUM(E7:E11)</f>
        <v>68650</v>
      </c>
      <c r="F12" s="20" t="n">
        <f aca="false">SUM(F7:F11)</f>
        <v>72850</v>
      </c>
      <c r="G12" s="36"/>
      <c r="H12" s="36"/>
      <c r="I12" s="36"/>
      <c r="J12" s="20" t="n">
        <f aca="false">SUM(J7:J11)</f>
        <v>0</v>
      </c>
    </row>
    <row r="14" customFormat="false" ht="19.5" hidden="false" customHeight="true" outlineLevel="0" collapsed="false">
      <c r="B14" s="21" t="s">
        <v>181</v>
      </c>
      <c r="C14" s="21"/>
      <c r="D14" s="21"/>
      <c r="E14" s="21"/>
      <c r="F14" s="21"/>
      <c r="G14" s="21"/>
      <c r="H14" s="21"/>
      <c r="I14" s="21"/>
      <c r="J14" s="21"/>
    </row>
    <row r="15" customFormat="false" ht="15" hidden="false" customHeight="false" outlineLevel="0" collapsed="false">
      <c r="B15" s="16" t="s">
        <v>182</v>
      </c>
      <c r="D15" s="26" t="n">
        <f aca="false">SUM(J7:J11)</f>
        <v>0</v>
      </c>
    </row>
    <row r="16" customFormat="false" ht="15" hidden="false" customHeight="false" outlineLevel="0" collapsed="false">
      <c r="B16" s="16" t="s">
        <v>183</v>
      </c>
      <c r="D16" s="17" t="n">
        <v>0</v>
      </c>
    </row>
    <row r="17" customFormat="false" ht="15" hidden="false" customHeight="false" outlineLevel="0" collapsed="false">
      <c r="B17" s="16" t="s">
        <v>184</v>
      </c>
      <c r="D17" s="17" t="n">
        <v>0</v>
      </c>
    </row>
    <row r="18" customFormat="false" ht="15" hidden="false" customHeight="false" outlineLevel="0" collapsed="false">
      <c r="B18" s="16" t="s">
        <v>185</v>
      </c>
      <c r="D18" s="17" t="n">
        <v>0</v>
      </c>
    </row>
    <row r="19" customFormat="false" ht="15" hidden="false" customHeight="false" outlineLevel="0" collapsed="false">
      <c r="B19" s="40" t="s">
        <v>186</v>
      </c>
      <c r="D19" s="18" t="n">
        <f aca="false">D15+D16+D17+D18</f>
        <v>0</v>
      </c>
    </row>
    <row r="20" customFormat="false" ht="15" hidden="false" customHeight="false" outlineLevel="0" collapsed="false">
      <c r="B20" s="16" t="s">
        <v>187</v>
      </c>
      <c r="D20" s="17" t="n">
        <v>3000</v>
      </c>
    </row>
    <row r="21" customFormat="false" ht="15" hidden="false" customHeight="false" outlineLevel="0" collapsed="false">
      <c r="B21" s="40" t="s">
        <v>188</v>
      </c>
      <c r="D21" s="18" t="n">
        <f aca="false">IF(D19&gt;=0,0,MIN(-D19,D20))</f>
        <v>0</v>
      </c>
    </row>
    <row r="22" customFormat="false" ht="15" hidden="false" customHeight="false" outlineLevel="0" collapsed="false">
      <c r="B22" s="44" t="s">
        <v>189</v>
      </c>
      <c r="C22" s="45"/>
      <c r="D22" s="29" t="n">
        <f aca="false">IF(D19&gt;=0,0,(-D19)-D21)</f>
        <v>0</v>
      </c>
    </row>
    <row r="24" customFormat="false" ht="60" hidden="false" customHeight="true" outlineLevel="0" collapsed="false">
      <c r="B24" s="37" t="s">
        <v>190</v>
      </c>
      <c r="C24" s="37"/>
      <c r="D24" s="37"/>
      <c r="E24" s="37"/>
      <c r="F24" s="37"/>
      <c r="G24" s="37"/>
      <c r="H24" s="37"/>
      <c r="I24" s="37"/>
      <c r="J24" s="37"/>
    </row>
  </sheetData>
  <mergeCells count="5">
    <mergeCell ref="B2:J2"/>
    <mergeCell ref="B3:J3"/>
    <mergeCell ref="B5:J5"/>
    <mergeCell ref="B14:J14"/>
    <mergeCell ref="B24:J24"/>
  </mergeCells>
  <conditionalFormatting sqref="F7:F11">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24"/>
    <col collapsed="false" customWidth="true" hidden="false" outlineLevel="0" max="11" min="4" style="0" width="12"/>
    <col collapsed="false" customWidth="true" hidden="false" outlineLevel="0" max="12" min="12" style="0" width="16"/>
  </cols>
  <sheetData>
    <row r="2" customFormat="false" ht="27.75" hidden="false" customHeight="true" outlineLevel="0" collapsed="false">
      <c r="B2" s="11" t="s">
        <v>191</v>
      </c>
      <c r="C2" s="11"/>
      <c r="D2" s="11"/>
      <c r="E2" s="11"/>
      <c r="F2" s="11"/>
      <c r="G2" s="11"/>
      <c r="H2" s="11"/>
      <c r="I2" s="11"/>
      <c r="J2" s="11"/>
      <c r="K2" s="11"/>
      <c r="L2" s="11"/>
    </row>
    <row r="3" customFormat="false" ht="15" hidden="false" customHeight="false" outlineLevel="0" collapsed="false">
      <c r="B3" s="12" t="s">
        <v>14</v>
      </c>
      <c r="C3" s="12"/>
      <c r="D3" s="12"/>
      <c r="E3" s="12"/>
      <c r="F3" s="12"/>
      <c r="G3" s="12"/>
      <c r="H3" s="12"/>
      <c r="I3" s="12"/>
      <c r="J3" s="12"/>
      <c r="K3" s="12"/>
      <c r="L3" s="12"/>
    </row>
    <row r="5" customFormat="false" ht="19.5" hidden="false" customHeight="true" outlineLevel="0" collapsed="false">
      <c r="B5" s="13" t="s">
        <v>192</v>
      </c>
      <c r="C5" s="13"/>
      <c r="D5" s="13"/>
      <c r="E5" s="13"/>
      <c r="F5" s="13"/>
      <c r="G5" s="13"/>
      <c r="H5" s="13"/>
      <c r="I5" s="13"/>
      <c r="J5" s="13"/>
      <c r="K5" s="13"/>
      <c r="L5" s="13"/>
    </row>
    <row r="6" customFormat="false" ht="15" hidden="false" customHeight="true" outlineLevel="0" collapsed="false">
      <c r="B6" s="22" t="s">
        <v>193</v>
      </c>
      <c r="C6" s="46"/>
      <c r="D6" s="46"/>
      <c r="E6" s="46"/>
      <c r="F6" s="46"/>
      <c r="G6" s="46"/>
      <c r="H6" s="46"/>
      <c r="I6" s="37" t="s">
        <v>194</v>
      </c>
      <c r="J6" s="37"/>
      <c r="K6" s="37"/>
      <c r="L6" s="37"/>
    </row>
    <row r="7" customFormat="false" ht="22.35" hidden="false" customHeight="true" outlineLevel="0" collapsed="false">
      <c r="B7" s="22" t="s">
        <v>195</v>
      </c>
      <c r="C7" s="46"/>
      <c r="D7" s="46"/>
      <c r="E7" s="46"/>
      <c r="F7" s="46"/>
      <c r="G7" s="46"/>
      <c r="H7" s="46"/>
      <c r="I7" s="37" t="s">
        <v>196</v>
      </c>
      <c r="J7" s="37"/>
      <c r="K7" s="37"/>
      <c r="L7" s="37"/>
    </row>
    <row r="8" customFormat="false" ht="15" hidden="false" customHeight="true" outlineLevel="0" collapsed="false">
      <c r="B8" s="22" t="s">
        <v>197</v>
      </c>
      <c r="C8" s="46"/>
      <c r="D8" s="46"/>
      <c r="E8" s="46"/>
      <c r="F8" s="46"/>
      <c r="G8" s="46"/>
      <c r="H8" s="46"/>
      <c r="I8" s="37" t="s">
        <v>198</v>
      </c>
      <c r="J8" s="37"/>
      <c r="K8" s="37"/>
      <c r="L8" s="37"/>
    </row>
    <row r="9" customFormat="false" ht="15" hidden="false" customHeight="true" outlineLevel="0" collapsed="false">
      <c r="B9" s="22" t="s">
        <v>199</v>
      </c>
      <c r="C9" s="46"/>
      <c r="D9" s="46"/>
      <c r="E9" s="46"/>
      <c r="F9" s="46"/>
      <c r="G9" s="46"/>
      <c r="H9" s="46"/>
      <c r="I9" s="37" t="s">
        <v>200</v>
      </c>
      <c r="J9" s="37"/>
      <c r="K9" s="37"/>
      <c r="L9" s="37"/>
    </row>
    <row r="10" customFormat="false" ht="15" hidden="false" customHeight="true" outlineLevel="0" collapsed="false">
      <c r="B10" s="22" t="s">
        <v>201</v>
      </c>
      <c r="C10" s="46"/>
      <c r="D10" s="46"/>
      <c r="E10" s="46"/>
      <c r="F10" s="46"/>
      <c r="G10" s="46"/>
      <c r="H10" s="46"/>
      <c r="I10" s="37" t="s">
        <v>202</v>
      </c>
      <c r="J10" s="37"/>
      <c r="K10" s="37"/>
      <c r="L10" s="37"/>
    </row>
    <row r="11" customFormat="false" ht="15" hidden="false" customHeight="true" outlineLevel="0" collapsed="false">
      <c r="B11" s="22" t="s">
        <v>203</v>
      </c>
      <c r="C11" s="46"/>
      <c r="D11" s="46"/>
      <c r="E11" s="46"/>
      <c r="F11" s="46"/>
      <c r="G11" s="46"/>
      <c r="H11" s="46"/>
      <c r="I11" s="37" t="s">
        <v>204</v>
      </c>
      <c r="J11" s="37"/>
      <c r="K11" s="37"/>
      <c r="L11" s="37"/>
    </row>
    <row r="12" customFormat="false" ht="15" hidden="false" customHeight="true" outlineLevel="0" collapsed="false">
      <c r="B12" s="22" t="s">
        <v>205</v>
      </c>
      <c r="C12" s="46"/>
      <c r="D12" s="46"/>
      <c r="E12" s="46"/>
      <c r="F12" s="46"/>
      <c r="G12" s="46"/>
      <c r="H12" s="46"/>
      <c r="I12" s="37" t="s">
        <v>206</v>
      </c>
      <c r="J12" s="37"/>
      <c r="K12" s="37"/>
      <c r="L12" s="37"/>
    </row>
    <row r="13" customFormat="false" ht="15" hidden="false" customHeight="true" outlineLevel="0" collapsed="false">
      <c r="B13" s="22" t="s">
        <v>207</v>
      </c>
      <c r="C13" s="46"/>
      <c r="D13" s="46"/>
      <c r="E13" s="46"/>
      <c r="F13" s="46"/>
      <c r="G13" s="46"/>
      <c r="H13" s="46"/>
      <c r="I13" s="37" t="s">
        <v>208</v>
      </c>
      <c r="J13" s="37"/>
      <c r="K13" s="37"/>
      <c r="L13" s="37"/>
    </row>
    <row r="15" customFormat="false" ht="19.5" hidden="false" customHeight="true" outlineLevel="0" collapsed="false">
      <c r="B15" s="21" t="s">
        <v>209</v>
      </c>
      <c r="C15" s="21"/>
      <c r="D15" s="21"/>
      <c r="E15" s="21"/>
      <c r="F15" s="21"/>
      <c r="G15" s="21"/>
      <c r="H15" s="21"/>
      <c r="I15" s="21"/>
      <c r="J15" s="21"/>
      <c r="K15" s="21"/>
      <c r="L15" s="21"/>
    </row>
    <row r="16" customFormat="false" ht="23.85" hidden="false" customHeight="false" outlineLevel="0" collapsed="false">
      <c r="B16" s="15" t="s">
        <v>210</v>
      </c>
      <c r="C16" s="15" t="s">
        <v>211</v>
      </c>
      <c r="D16" s="15" t="s">
        <v>212</v>
      </c>
      <c r="E16" s="15" t="s">
        <v>213</v>
      </c>
      <c r="F16" s="15" t="s">
        <v>214</v>
      </c>
      <c r="G16" s="15" t="s">
        <v>215</v>
      </c>
      <c r="H16" s="15" t="s">
        <v>216</v>
      </c>
      <c r="I16" s="15" t="s">
        <v>217</v>
      </c>
      <c r="J16" s="15" t="s">
        <v>218</v>
      </c>
      <c r="K16" s="15" t="s">
        <v>219</v>
      </c>
      <c r="L16" s="15" t="s">
        <v>220</v>
      </c>
      <c r="M16" s="15" t="s">
        <v>221</v>
      </c>
    </row>
    <row r="17" customFormat="false" ht="15" hidden="false" customHeight="false" outlineLevel="0" collapsed="false">
      <c r="B17" s="34" t="n">
        <v>1</v>
      </c>
      <c r="C17" s="47"/>
      <c r="D17" s="48"/>
      <c r="E17" s="38" t="n">
        <v>0</v>
      </c>
      <c r="F17" s="39" t="n">
        <v>0</v>
      </c>
      <c r="G17" s="17" t="n">
        <v>0</v>
      </c>
      <c r="H17" s="17" t="n">
        <v>0</v>
      </c>
      <c r="I17" s="49" t="n">
        <f aca="false">IFERROR((F17*G17)/((1-F17)*ABS(H17)),0)</f>
        <v>0</v>
      </c>
      <c r="J17" s="39" t="n">
        <v>0</v>
      </c>
      <c r="K17" s="50" t="n">
        <v>0</v>
      </c>
      <c r="L17" s="26" t="n">
        <f aca="false">E17*((F17*G17)-((1-F17)*ABS(H17)))</f>
        <v>0</v>
      </c>
      <c r="M17" s="43" t="str">
        <f aca="false">IF(AND(I17&gt;=1.5,K17&gt;=1,J17&lt;=0.2),"Promote to Paper Trading",IF(I17&lt;1,"Reject","Refine Parameters"))</f>
        <v>Reject</v>
      </c>
    </row>
    <row r="18" customFormat="false" ht="15" hidden="false" customHeight="false" outlineLevel="0" collapsed="false">
      <c r="B18" s="34" t="n">
        <v>2</v>
      </c>
      <c r="C18" s="47"/>
      <c r="D18" s="48"/>
      <c r="E18" s="38" t="n">
        <v>0</v>
      </c>
      <c r="F18" s="39" t="n">
        <v>0</v>
      </c>
      <c r="G18" s="17" t="n">
        <v>0</v>
      </c>
      <c r="H18" s="17" t="n">
        <v>0</v>
      </c>
      <c r="I18" s="49" t="n">
        <f aca="false">IFERROR((F18*G18)/((1-F18)*ABS(H18)),0)</f>
        <v>0</v>
      </c>
      <c r="J18" s="39" t="n">
        <v>0</v>
      </c>
      <c r="K18" s="50" t="n">
        <v>0</v>
      </c>
      <c r="L18" s="26" t="n">
        <f aca="false">E18*((F18*G18)-((1-F18)*ABS(H18)))</f>
        <v>0</v>
      </c>
      <c r="M18" s="43" t="str">
        <f aca="false">IF(AND(I18&gt;=1.5,K18&gt;=1,J18&lt;=0.2),"Promote to Paper Trading",IF(I18&lt;1,"Reject","Refine Parameters"))</f>
        <v>Reject</v>
      </c>
    </row>
    <row r="19" customFormat="false" ht="15" hidden="false" customHeight="false" outlineLevel="0" collapsed="false">
      <c r="B19" s="34" t="n">
        <v>3</v>
      </c>
      <c r="C19" s="47"/>
      <c r="D19" s="48"/>
      <c r="E19" s="38" t="n">
        <v>0</v>
      </c>
      <c r="F19" s="39" t="n">
        <v>0</v>
      </c>
      <c r="G19" s="17" t="n">
        <v>0</v>
      </c>
      <c r="H19" s="17" t="n">
        <v>0</v>
      </c>
      <c r="I19" s="49" t="n">
        <f aca="false">IFERROR((F19*G19)/((1-F19)*ABS(H19)),0)</f>
        <v>0</v>
      </c>
      <c r="J19" s="39" t="n">
        <v>0</v>
      </c>
      <c r="K19" s="50" t="n">
        <v>0</v>
      </c>
      <c r="L19" s="26" t="n">
        <f aca="false">E19*((F19*G19)-((1-F19)*ABS(H19)))</f>
        <v>0</v>
      </c>
      <c r="M19" s="43" t="str">
        <f aca="false">IF(AND(I19&gt;=1.5,K19&gt;=1,J19&lt;=0.2),"Promote to Paper Trading",IF(I19&lt;1,"Reject","Refine Parameters"))</f>
        <v>Reject</v>
      </c>
    </row>
    <row r="20" customFormat="false" ht="15" hidden="false" customHeight="false" outlineLevel="0" collapsed="false">
      <c r="B20" s="34" t="n">
        <v>4</v>
      </c>
      <c r="C20" s="47"/>
      <c r="D20" s="48"/>
      <c r="E20" s="38" t="n">
        <v>0</v>
      </c>
      <c r="F20" s="39" t="n">
        <v>0</v>
      </c>
      <c r="G20" s="17" t="n">
        <v>0</v>
      </c>
      <c r="H20" s="17" t="n">
        <v>0</v>
      </c>
      <c r="I20" s="49" t="n">
        <f aca="false">IFERROR((F20*G20)/((1-F20)*ABS(H20)),0)</f>
        <v>0</v>
      </c>
      <c r="J20" s="39" t="n">
        <v>0</v>
      </c>
      <c r="K20" s="50" t="n">
        <v>0</v>
      </c>
      <c r="L20" s="26" t="n">
        <f aca="false">E20*((F20*G20)-((1-F20)*ABS(H20)))</f>
        <v>0</v>
      </c>
      <c r="M20" s="43" t="str">
        <f aca="false">IF(AND(I20&gt;=1.5,K20&gt;=1,J20&lt;=0.2),"Promote to Paper Trading",IF(I20&lt;1,"Reject","Refine Parameters"))</f>
        <v>Reject</v>
      </c>
    </row>
    <row r="21" customFormat="false" ht="15" hidden="false" customHeight="false" outlineLevel="0" collapsed="false">
      <c r="B21" s="34" t="n">
        <v>5</v>
      </c>
      <c r="C21" s="47"/>
      <c r="D21" s="48"/>
      <c r="E21" s="38" t="n">
        <v>0</v>
      </c>
      <c r="F21" s="39" t="n">
        <v>0</v>
      </c>
      <c r="G21" s="17" t="n">
        <v>0</v>
      </c>
      <c r="H21" s="17" t="n">
        <v>0</v>
      </c>
      <c r="I21" s="49" t="n">
        <f aca="false">IFERROR((F21*G21)/((1-F21)*ABS(H21)),0)</f>
        <v>0</v>
      </c>
      <c r="J21" s="39" t="n">
        <v>0</v>
      </c>
      <c r="K21" s="50" t="n">
        <v>0</v>
      </c>
      <c r="L21" s="26" t="n">
        <f aca="false">E21*((F21*G21)-((1-F21)*ABS(H21)))</f>
        <v>0</v>
      </c>
      <c r="M21" s="43" t="str">
        <f aca="false">IF(AND(I21&gt;=1.5,K21&gt;=1,J21&lt;=0.2),"Promote to Paper Trading",IF(I21&lt;1,"Reject","Refine Parameters"))</f>
        <v>Reject</v>
      </c>
    </row>
    <row r="22" customFormat="false" ht="15" hidden="false" customHeight="false" outlineLevel="0" collapsed="false">
      <c r="B22" s="34" t="n">
        <v>6</v>
      </c>
      <c r="C22" s="47"/>
      <c r="D22" s="48"/>
      <c r="E22" s="38" t="n">
        <v>0</v>
      </c>
      <c r="F22" s="39" t="n">
        <v>0</v>
      </c>
      <c r="G22" s="17" t="n">
        <v>0</v>
      </c>
      <c r="H22" s="17" t="n">
        <v>0</v>
      </c>
      <c r="I22" s="49" t="n">
        <f aca="false">IFERROR((F22*G22)/((1-F22)*ABS(H22)),0)</f>
        <v>0</v>
      </c>
      <c r="J22" s="39" t="n">
        <v>0</v>
      </c>
      <c r="K22" s="50" t="n">
        <v>0</v>
      </c>
      <c r="L22" s="26" t="n">
        <f aca="false">E22*((F22*G22)-((1-F22)*ABS(H22)))</f>
        <v>0</v>
      </c>
      <c r="M22" s="43" t="str">
        <f aca="false">IF(AND(I22&gt;=1.5,K22&gt;=1,J22&lt;=0.2),"Promote to Paper Trading",IF(I22&lt;1,"Reject","Refine Parameters"))</f>
        <v>Reject</v>
      </c>
    </row>
    <row r="23" customFormat="false" ht="15" hidden="false" customHeight="false" outlineLevel="0" collapsed="false">
      <c r="B23" s="34" t="n">
        <v>7</v>
      </c>
      <c r="C23" s="47"/>
      <c r="D23" s="48"/>
      <c r="E23" s="38" t="n">
        <v>0</v>
      </c>
      <c r="F23" s="39" t="n">
        <v>0</v>
      </c>
      <c r="G23" s="17" t="n">
        <v>0</v>
      </c>
      <c r="H23" s="17" t="n">
        <v>0</v>
      </c>
      <c r="I23" s="49" t="n">
        <f aca="false">IFERROR((F23*G23)/((1-F23)*ABS(H23)),0)</f>
        <v>0</v>
      </c>
      <c r="J23" s="39" t="n">
        <v>0</v>
      </c>
      <c r="K23" s="50" t="n">
        <v>0</v>
      </c>
      <c r="L23" s="26" t="n">
        <f aca="false">E23*((F23*G23)-((1-F23)*ABS(H23)))</f>
        <v>0</v>
      </c>
      <c r="M23" s="43" t="str">
        <f aca="false">IF(AND(I23&gt;=1.5,K23&gt;=1,J23&lt;=0.2),"Promote to Paper Trading",IF(I23&lt;1,"Reject","Refine Parameters"))</f>
        <v>Reject</v>
      </c>
    </row>
    <row r="24" customFormat="false" ht="15" hidden="false" customHeight="false" outlineLevel="0" collapsed="false">
      <c r="B24" s="34" t="n">
        <v>8</v>
      </c>
      <c r="C24" s="47"/>
      <c r="D24" s="48"/>
      <c r="E24" s="38" t="n">
        <v>0</v>
      </c>
      <c r="F24" s="39" t="n">
        <v>0</v>
      </c>
      <c r="G24" s="17" t="n">
        <v>0</v>
      </c>
      <c r="H24" s="17" t="n">
        <v>0</v>
      </c>
      <c r="I24" s="49" t="n">
        <f aca="false">IFERROR((F24*G24)/((1-F24)*ABS(H24)),0)</f>
        <v>0</v>
      </c>
      <c r="J24" s="39" t="n">
        <v>0</v>
      </c>
      <c r="K24" s="50" t="n">
        <v>0</v>
      </c>
      <c r="L24" s="26" t="n">
        <f aca="false">E24*((F24*G24)-((1-F24)*ABS(H24)))</f>
        <v>0</v>
      </c>
      <c r="M24" s="43" t="str">
        <f aca="false">IF(AND(I24&gt;=1.5,K24&gt;=1,J24&lt;=0.2),"Promote to Paper Trading",IF(I24&lt;1,"Reject","Refine Parameters"))</f>
        <v>Reject</v>
      </c>
    </row>
    <row r="26" customFormat="false" ht="60" hidden="false" customHeight="true" outlineLevel="0" collapsed="false">
      <c r="B26" s="37" t="s">
        <v>222</v>
      </c>
      <c r="C26" s="37"/>
      <c r="D26" s="37"/>
      <c r="E26" s="37"/>
      <c r="F26" s="37"/>
      <c r="G26" s="37"/>
      <c r="H26" s="37"/>
      <c r="I26" s="37"/>
      <c r="J26" s="37"/>
      <c r="K26" s="37"/>
      <c r="L26" s="37"/>
    </row>
  </sheetData>
  <mergeCells count="21">
    <mergeCell ref="B2:L2"/>
    <mergeCell ref="B3:L3"/>
    <mergeCell ref="B5:L5"/>
    <mergeCell ref="C6:H6"/>
    <mergeCell ref="I6:L6"/>
    <mergeCell ref="C7:H7"/>
    <mergeCell ref="I7:L7"/>
    <mergeCell ref="C8:H8"/>
    <mergeCell ref="I8:L8"/>
    <mergeCell ref="C9:H9"/>
    <mergeCell ref="I9:L9"/>
    <mergeCell ref="C10:H10"/>
    <mergeCell ref="I10:L10"/>
    <mergeCell ref="C11:H11"/>
    <mergeCell ref="I11:L11"/>
    <mergeCell ref="C12:H12"/>
    <mergeCell ref="I12:L12"/>
    <mergeCell ref="C13:H13"/>
    <mergeCell ref="I13:L13"/>
    <mergeCell ref="B15:L15"/>
    <mergeCell ref="B26:L26"/>
  </mergeCells>
  <conditionalFormatting sqref="M17:M24">
    <cfRule type="cellIs" priority="2" operator="equal" aboveAverage="0" equalAverage="0" bottom="0" percent="0" rank="0" text="" dxfId="0">
      <formula>"Reject"</formula>
    </cfRule>
    <cfRule type="cellIs" priority="3" operator="equal" aboveAverage="0" equalAverage="0" bottom="0" percent="0" rank="0" text="" dxfId="1">
      <formula>"Promote to Paper Trading"</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2"/>
    <col collapsed="false" customWidth="true" hidden="false" outlineLevel="0" max="3" min="3" style="0" width="10"/>
    <col collapsed="false" customWidth="true" hidden="false" outlineLevel="0" max="4" min="4" style="0" width="16"/>
    <col collapsed="false" customWidth="true" hidden="false" outlineLevel="0" max="5" min="5" style="0" width="9"/>
    <col collapsed="false" customWidth="true" hidden="false" outlineLevel="0" max="8" min="6" style="0" width="12"/>
    <col collapsed="false" customWidth="true" hidden="false" outlineLevel="0" max="10" min="9" style="0" width="10"/>
    <col collapsed="false" customWidth="true" hidden="false" outlineLevel="0" max="12" min="11" style="0" width="28"/>
    <col collapsed="false" customWidth="true" hidden="false" outlineLevel="0" max="13" min="13" style="0" width="14"/>
  </cols>
  <sheetData>
    <row r="2" customFormat="false" ht="27.75" hidden="false" customHeight="true" outlineLevel="0" collapsed="false">
      <c r="B2" s="11" t="s">
        <v>223</v>
      </c>
      <c r="C2" s="11"/>
      <c r="D2" s="11"/>
      <c r="E2" s="11"/>
      <c r="F2" s="11"/>
      <c r="G2" s="11"/>
      <c r="H2" s="11"/>
      <c r="I2" s="11"/>
      <c r="J2" s="11"/>
      <c r="K2" s="11"/>
      <c r="L2" s="11"/>
      <c r="M2" s="11"/>
    </row>
    <row r="3" customFormat="false" ht="15" hidden="false" customHeight="false" outlineLevel="0" collapsed="false">
      <c r="B3" s="12" t="s">
        <v>16</v>
      </c>
      <c r="C3" s="12"/>
      <c r="D3" s="12"/>
      <c r="E3" s="12"/>
      <c r="F3" s="12"/>
      <c r="G3" s="12"/>
      <c r="H3" s="12"/>
      <c r="I3" s="12"/>
      <c r="J3" s="12"/>
      <c r="K3" s="12"/>
      <c r="L3" s="12"/>
      <c r="M3" s="12"/>
    </row>
    <row r="5" customFormat="false" ht="19.5" hidden="false" customHeight="true" outlineLevel="0" collapsed="false">
      <c r="B5" s="13" t="s">
        <v>224</v>
      </c>
      <c r="C5" s="13"/>
      <c r="D5" s="13"/>
      <c r="E5" s="13"/>
      <c r="F5" s="13"/>
      <c r="G5" s="13"/>
      <c r="H5" s="13"/>
      <c r="I5" s="13"/>
      <c r="J5" s="13"/>
      <c r="K5" s="13"/>
      <c r="L5" s="13"/>
      <c r="M5" s="13"/>
    </row>
    <row r="6" customFormat="false" ht="23.85" hidden="false" customHeight="false" outlineLevel="0" collapsed="false">
      <c r="B6" s="15" t="s">
        <v>225</v>
      </c>
      <c r="C6" s="15" t="s">
        <v>226</v>
      </c>
      <c r="D6" s="15" t="s">
        <v>227</v>
      </c>
      <c r="E6" s="15" t="s">
        <v>228</v>
      </c>
      <c r="F6" s="15" t="s">
        <v>229</v>
      </c>
      <c r="G6" s="15" t="s">
        <v>230</v>
      </c>
      <c r="H6" s="15" t="s">
        <v>231</v>
      </c>
      <c r="I6" s="15" t="s">
        <v>232</v>
      </c>
      <c r="J6" s="15" t="s">
        <v>233</v>
      </c>
      <c r="K6" s="15" t="s">
        <v>234</v>
      </c>
      <c r="L6" s="15" t="s">
        <v>235</v>
      </c>
      <c r="M6" s="15" t="s">
        <v>236</v>
      </c>
    </row>
    <row r="7" customFormat="false" ht="15" hidden="false" customHeight="false" outlineLevel="0" collapsed="false">
      <c r="B7" s="47"/>
      <c r="C7" s="51"/>
      <c r="D7" s="48"/>
      <c r="E7" s="48"/>
      <c r="F7" s="52" t="n">
        <v>0</v>
      </c>
      <c r="G7" s="52" t="n">
        <v>0</v>
      </c>
      <c r="H7" s="38" t="n">
        <v>0</v>
      </c>
      <c r="I7" s="17" t="n">
        <v>0</v>
      </c>
      <c r="J7" s="50" t="n">
        <v>0</v>
      </c>
      <c r="K7" s="53"/>
      <c r="L7" s="53"/>
      <c r="M7" s="38" t="n">
        <v>3</v>
      </c>
    </row>
    <row r="8" customFormat="false" ht="15" hidden="false" customHeight="false" outlineLevel="0" collapsed="false">
      <c r="B8" s="47"/>
      <c r="C8" s="51"/>
      <c r="D8" s="48"/>
      <c r="E8" s="48"/>
      <c r="F8" s="52" t="n">
        <v>0</v>
      </c>
      <c r="G8" s="52" t="n">
        <v>0</v>
      </c>
      <c r="H8" s="38" t="n">
        <v>0</v>
      </c>
      <c r="I8" s="17" t="n">
        <v>0</v>
      </c>
      <c r="J8" s="50" t="n">
        <v>0</v>
      </c>
      <c r="K8" s="53"/>
      <c r="L8" s="53"/>
      <c r="M8" s="38" t="n">
        <v>3</v>
      </c>
    </row>
    <row r="9" customFormat="false" ht="15" hidden="false" customHeight="false" outlineLevel="0" collapsed="false">
      <c r="B9" s="47"/>
      <c r="C9" s="51"/>
      <c r="D9" s="48"/>
      <c r="E9" s="48"/>
      <c r="F9" s="52" t="n">
        <v>0</v>
      </c>
      <c r="G9" s="52" t="n">
        <v>0</v>
      </c>
      <c r="H9" s="38" t="n">
        <v>0</v>
      </c>
      <c r="I9" s="17" t="n">
        <v>0</v>
      </c>
      <c r="J9" s="50" t="n">
        <v>0</v>
      </c>
      <c r="K9" s="53"/>
      <c r="L9" s="53"/>
      <c r="M9" s="38" t="n">
        <v>3</v>
      </c>
    </row>
    <row r="10" customFormat="false" ht="15" hidden="false" customHeight="false" outlineLevel="0" collapsed="false">
      <c r="B10" s="47"/>
      <c r="C10" s="51"/>
      <c r="D10" s="48"/>
      <c r="E10" s="48"/>
      <c r="F10" s="52" t="n">
        <v>0</v>
      </c>
      <c r="G10" s="52" t="n">
        <v>0</v>
      </c>
      <c r="H10" s="38" t="n">
        <v>0</v>
      </c>
      <c r="I10" s="17" t="n">
        <v>0</v>
      </c>
      <c r="J10" s="50" t="n">
        <v>0</v>
      </c>
      <c r="K10" s="53"/>
      <c r="L10" s="53"/>
      <c r="M10" s="38" t="n">
        <v>3</v>
      </c>
    </row>
    <row r="11" customFormat="false" ht="15" hidden="false" customHeight="false" outlineLevel="0" collapsed="false">
      <c r="B11" s="47"/>
      <c r="C11" s="51"/>
      <c r="D11" s="48"/>
      <c r="E11" s="48"/>
      <c r="F11" s="52" t="n">
        <v>0</v>
      </c>
      <c r="G11" s="52" t="n">
        <v>0</v>
      </c>
      <c r="H11" s="38" t="n">
        <v>0</v>
      </c>
      <c r="I11" s="17" t="n">
        <v>0</v>
      </c>
      <c r="J11" s="50" t="n">
        <v>0</v>
      </c>
      <c r="K11" s="53"/>
      <c r="L11" s="53"/>
      <c r="M11" s="38" t="n">
        <v>3</v>
      </c>
    </row>
    <row r="12" customFormat="false" ht="15" hidden="false" customHeight="false" outlineLevel="0" collapsed="false">
      <c r="B12" s="47"/>
      <c r="C12" s="51"/>
      <c r="D12" s="48"/>
      <c r="E12" s="48"/>
      <c r="F12" s="52" t="n">
        <v>0</v>
      </c>
      <c r="G12" s="52" t="n">
        <v>0</v>
      </c>
      <c r="H12" s="38" t="n">
        <v>0</v>
      </c>
      <c r="I12" s="17" t="n">
        <v>0</v>
      </c>
      <c r="J12" s="50" t="n">
        <v>0</v>
      </c>
      <c r="K12" s="53"/>
      <c r="L12" s="53"/>
      <c r="M12" s="38" t="n">
        <v>3</v>
      </c>
    </row>
    <row r="13" customFormat="false" ht="15" hidden="false" customHeight="false" outlineLevel="0" collapsed="false">
      <c r="B13" s="47"/>
      <c r="C13" s="51"/>
      <c r="D13" s="48"/>
      <c r="E13" s="48"/>
      <c r="F13" s="52" t="n">
        <v>0</v>
      </c>
      <c r="G13" s="52" t="n">
        <v>0</v>
      </c>
      <c r="H13" s="38" t="n">
        <v>0</v>
      </c>
      <c r="I13" s="17" t="n">
        <v>0</v>
      </c>
      <c r="J13" s="50" t="n">
        <v>0</v>
      </c>
      <c r="K13" s="53"/>
      <c r="L13" s="53"/>
      <c r="M13" s="38" t="n">
        <v>3</v>
      </c>
    </row>
    <row r="14" customFormat="false" ht="15" hidden="false" customHeight="false" outlineLevel="0" collapsed="false">
      <c r="B14" s="47"/>
      <c r="C14" s="51"/>
      <c r="D14" s="48"/>
      <c r="E14" s="48"/>
      <c r="F14" s="52" t="n">
        <v>0</v>
      </c>
      <c r="G14" s="52" t="n">
        <v>0</v>
      </c>
      <c r="H14" s="38" t="n">
        <v>0</v>
      </c>
      <c r="I14" s="17" t="n">
        <v>0</v>
      </c>
      <c r="J14" s="50" t="n">
        <v>0</v>
      </c>
      <c r="K14" s="53"/>
      <c r="L14" s="53"/>
      <c r="M14" s="38" t="n">
        <v>3</v>
      </c>
    </row>
    <row r="15" customFormat="false" ht="15" hidden="false" customHeight="false" outlineLevel="0" collapsed="false">
      <c r="B15" s="47"/>
      <c r="C15" s="51"/>
      <c r="D15" s="48"/>
      <c r="E15" s="48"/>
      <c r="F15" s="52" t="n">
        <v>0</v>
      </c>
      <c r="G15" s="52" t="n">
        <v>0</v>
      </c>
      <c r="H15" s="38" t="n">
        <v>0</v>
      </c>
      <c r="I15" s="17" t="n">
        <v>0</v>
      </c>
      <c r="J15" s="50" t="n">
        <v>0</v>
      </c>
      <c r="K15" s="53"/>
      <c r="L15" s="53"/>
      <c r="M15" s="38" t="n">
        <v>3</v>
      </c>
    </row>
    <row r="16" customFormat="false" ht="15" hidden="false" customHeight="false" outlineLevel="0" collapsed="false">
      <c r="B16" s="47"/>
      <c r="C16" s="51"/>
      <c r="D16" s="48"/>
      <c r="E16" s="48"/>
      <c r="F16" s="52" t="n">
        <v>0</v>
      </c>
      <c r="G16" s="52" t="n">
        <v>0</v>
      </c>
      <c r="H16" s="38" t="n">
        <v>0</v>
      </c>
      <c r="I16" s="17" t="n">
        <v>0</v>
      </c>
      <c r="J16" s="50" t="n">
        <v>0</v>
      </c>
      <c r="K16" s="53"/>
      <c r="L16" s="53"/>
      <c r="M16" s="38" t="n">
        <v>3</v>
      </c>
    </row>
    <row r="17" customFormat="false" ht="15" hidden="false" customHeight="false" outlineLevel="0" collapsed="false">
      <c r="B17" s="47"/>
      <c r="C17" s="51"/>
      <c r="D17" s="48"/>
      <c r="E17" s="48"/>
      <c r="F17" s="52" t="n">
        <v>0</v>
      </c>
      <c r="G17" s="52" t="n">
        <v>0</v>
      </c>
      <c r="H17" s="38" t="n">
        <v>0</v>
      </c>
      <c r="I17" s="17" t="n">
        <v>0</v>
      </c>
      <c r="J17" s="50" t="n">
        <v>0</v>
      </c>
      <c r="K17" s="53"/>
      <c r="L17" s="53"/>
      <c r="M17" s="38" t="n">
        <v>3</v>
      </c>
    </row>
    <row r="18" customFormat="false" ht="15" hidden="false" customHeight="false" outlineLevel="0" collapsed="false">
      <c r="B18" s="47"/>
      <c r="C18" s="51"/>
      <c r="D18" s="48"/>
      <c r="E18" s="48"/>
      <c r="F18" s="52" t="n">
        <v>0</v>
      </c>
      <c r="G18" s="52" t="n">
        <v>0</v>
      </c>
      <c r="H18" s="38" t="n">
        <v>0</v>
      </c>
      <c r="I18" s="17" t="n">
        <v>0</v>
      </c>
      <c r="J18" s="50" t="n">
        <v>0</v>
      </c>
      <c r="K18" s="53"/>
      <c r="L18" s="53"/>
      <c r="M18" s="38" t="n">
        <v>3</v>
      </c>
    </row>
    <row r="19" customFormat="false" ht="15" hidden="false" customHeight="false" outlineLevel="0" collapsed="false">
      <c r="B19" s="47"/>
      <c r="C19" s="51"/>
      <c r="D19" s="48"/>
      <c r="E19" s="48"/>
      <c r="F19" s="52" t="n">
        <v>0</v>
      </c>
      <c r="G19" s="52" t="n">
        <v>0</v>
      </c>
      <c r="H19" s="38" t="n">
        <v>0</v>
      </c>
      <c r="I19" s="17" t="n">
        <v>0</v>
      </c>
      <c r="J19" s="50" t="n">
        <v>0</v>
      </c>
      <c r="K19" s="53"/>
      <c r="L19" s="53"/>
      <c r="M19" s="38" t="n">
        <v>3</v>
      </c>
    </row>
    <row r="20" customFormat="false" ht="15" hidden="false" customHeight="false" outlineLevel="0" collapsed="false">
      <c r="B20" s="47"/>
      <c r="C20" s="51"/>
      <c r="D20" s="48"/>
      <c r="E20" s="48"/>
      <c r="F20" s="52" t="n">
        <v>0</v>
      </c>
      <c r="G20" s="52" t="n">
        <v>0</v>
      </c>
      <c r="H20" s="38" t="n">
        <v>0</v>
      </c>
      <c r="I20" s="17" t="n">
        <v>0</v>
      </c>
      <c r="J20" s="50" t="n">
        <v>0</v>
      </c>
      <c r="K20" s="53"/>
      <c r="L20" s="53"/>
      <c r="M20" s="38" t="n">
        <v>3</v>
      </c>
    </row>
    <row r="21" customFormat="false" ht="15" hidden="false" customHeight="false" outlineLevel="0" collapsed="false">
      <c r="B21" s="47"/>
      <c r="C21" s="51"/>
      <c r="D21" s="48"/>
      <c r="E21" s="48"/>
      <c r="F21" s="52" t="n">
        <v>0</v>
      </c>
      <c r="G21" s="52" t="n">
        <v>0</v>
      </c>
      <c r="H21" s="38" t="n">
        <v>0</v>
      </c>
      <c r="I21" s="17" t="n">
        <v>0</v>
      </c>
      <c r="J21" s="50" t="n">
        <v>0</v>
      </c>
      <c r="K21" s="53"/>
      <c r="L21" s="53"/>
      <c r="M21" s="38" t="n">
        <v>3</v>
      </c>
    </row>
    <row r="23" customFormat="false" ht="19.5" hidden="false" customHeight="true" outlineLevel="0" collapsed="false">
      <c r="B23" s="21" t="s">
        <v>237</v>
      </c>
      <c r="C23" s="21"/>
      <c r="D23" s="21"/>
      <c r="E23" s="21"/>
      <c r="F23" s="21"/>
      <c r="G23" s="21"/>
      <c r="H23" s="21"/>
      <c r="I23" s="21"/>
      <c r="J23" s="21"/>
      <c r="K23" s="21"/>
      <c r="L23" s="21"/>
      <c r="M23" s="21"/>
    </row>
    <row r="24" customFormat="false" ht="15" hidden="false" customHeight="false" outlineLevel="0" collapsed="false">
      <c r="B24" s="40" t="s">
        <v>238</v>
      </c>
      <c r="D24" s="41" t="n">
        <f aca="false">COUNTIF(D7:D21,"&lt;&gt;")</f>
        <v>0</v>
      </c>
    </row>
    <row r="25" customFormat="false" ht="15" hidden="false" customHeight="false" outlineLevel="0" collapsed="false">
      <c r="B25" s="40" t="s">
        <v>214</v>
      </c>
      <c r="D25" s="54" t="n">
        <f aca="false">IFERROR(COUNTIF(I7:I21,"&gt;0")/COUNTIF(I7:I21,"&lt;&gt;0"),0)</f>
        <v>0</v>
      </c>
    </row>
    <row r="26" customFormat="false" ht="15" hidden="false" customHeight="false" outlineLevel="0" collapsed="false">
      <c r="B26" s="40" t="s">
        <v>239</v>
      </c>
      <c r="D26" s="18" t="n">
        <f aca="false">IFERROR(AVERAGEIF(I7:I21,"&gt;0"),0)</f>
        <v>0</v>
      </c>
    </row>
    <row r="27" customFormat="false" ht="15" hidden="false" customHeight="false" outlineLevel="0" collapsed="false">
      <c r="B27" s="40" t="s">
        <v>240</v>
      </c>
      <c r="D27" s="18" t="n">
        <f aca="false">IFERROR(AVERAGEIF(I7:I21,"&lt;0"),0)</f>
        <v>0</v>
      </c>
    </row>
    <row r="28" customFormat="false" ht="15" hidden="false" customHeight="false" outlineLevel="0" collapsed="false">
      <c r="B28" s="40" t="s">
        <v>241</v>
      </c>
      <c r="D28" s="55" t="n">
        <f aca="false">IFERROR(AVERAGE(J7:J21),0)</f>
        <v>0</v>
      </c>
    </row>
    <row r="29" customFormat="false" ht="15" hidden="false" customHeight="false" outlineLevel="0" collapsed="false">
      <c r="B29" s="40" t="s">
        <v>242</v>
      </c>
      <c r="D29" s="18" t="n">
        <f aca="false">SUM(I7:I21)</f>
        <v>0</v>
      </c>
    </row>
    <row r="30" customFormat="false" ht="15" hidden="false" customHeight="false" outlineLevel="0" collapsed="false">
      <c r="B30" s="40" t="s">
        <v>243</v>
      </c>
      <c r="D30" s="56" t="n">
        <f aca="false">IFERROR(AVERAGE(M7:M21),0)</f>
        <v>3</v>
      </c>
    </row>
    <row r="32" customFormat="false" ht="19.5" hidden="false" customHeight="true" outlineLevel="0" collapsed="false">
      <c r="B32" s="8" t="s">
        <v>244</v>
      </c>
      <c r="C32" s="8"/>
      <c r="D32" s="8"/>
      <c r="E32" s="8"/>
      <c r="F32" s="8"/>
      <c r="G32" s="8"/>
      <c r="H32" s="8"/>
      <c r="I32" s="8"/>
      <c r="J32" s="8"/>
      <c r="K32" s="8"/>
      <c r="L32" s="8"/>
      <c r="M32" s="8"/>
    </row>
    <row r="33" customFormat="false" ht="24" hidden="false" customHeight="true" outlineLevel="0" collapsed="false">
      <c r="B33" s="57" t="s">
        <v>245</v>
      </c>
      <c r="C33" s="57"/>
      <c r="D33" s="57"/>
      <c r="E33" s="58"/>
      <c r="F33" s="58"/>
      <c r="G33" s="58"/>
      <c r="H33" s="58"/>
      <c r="I33" s="58"/>
      <c r="J33" s="58"/>
      <c r="K33" s="58"/>
      <c r="L33" s="58"/>
      <c r="M33" s="58"/>
    </row>
    <row r="34" customFormat="false" ht="24" hidden="false" customHeight="true" outlineLevel="0" collapsed="false">
      <c r="B34" s="57" t="s">
        <v>246</v>
      </c>
      <c r="C34" s="57"/>
      <c r="D34" s="57"/>
      <c r="E34" s="58"/>
      <c r="F34" s="58"/>
      <c r="G34" s="58"/>
      <c r="H34" s="58"/>
      <c r="I34" s="58"/>
      <c r="J34" s="58"/>
      <c r="K34" s="58"/>
      <c r="L34" s="58"/>
      <c r="M34" s="58"/>
    </row>
    <row r="35" customFormat="false" ht="24" hidden="false" customHeight="true" outlineLevel="0" collapsed="false">
      <c r="B35" s="57" t="s">
        <v>247</v>
      </c>
      <c r="C35" s="57"/>
      <c r="D35" s="57"/>
      <c r="E35" s="58"/>
      <c r="F35" s="58"/>
      <c r="G35" s="58"/>
      <c r="H35" s="58"/>
      <c r="I35" s="58"/>
      <c r="J35" s="58"/>
      <c r="K35" s="58"/>
      <c r="L35" s="58"/>
      <c r="M35" s="58"/>
    </row>
    <row r="36" customFormat="false" ht="24" hidden="false" customHeight="true" outlineLevel="0" collapsed="false">
      <c r="B36" s="57" t="s">
        <v>248</v>
      </c>
      <c r="C36" s="57"/>
      <c r="D36" s="57"/>
      <c r="E36" s="58"/>
      <c r="F36" s="58"/>
      <c r="G36" s="58"/>
      <c r="H36" s="58"/>
      <c r="I36" s="58"/>
      <c r="J36" s="58"/>
      <c r="K36" s="58"/>
      <c r="L36" s="58"/>
      <c r="M36" s="58"/>
    </row>
    <row r="37" customFormat="false" ht="24" hidden="false" customHeight="true" outlineLevel="0" collapsed="false">
      <c r="B37" s="57" t="s">
        <v>249</v>
      </c>
      <c r="C37" s="57"/>
      <c r="D37" s="57"/>
      <c r="E37" s="58"/>
      <c r="F37" s="58"/>
      <c r="G37" s="58"/>
      <c r="H37" s="58"/>
      <c r="I37" s="58"/>
      <c r="J37" s="58"/>
      <c r="K37" s="58"/>
      <c r="L37" s="58"/>
      <c r="M37" s="58"/>
    </row>
  </sheetData>
  <mergeCells count="15">
    <mergeCell ref="B2:M2"/>
    <mergeCell ref="B3:M3"/>
    <mergeCell ref="B5:M5"/>
    <mergeCell ref="B23:M23"/>
    <mergeCell ref="B32:M32"/>
    <mergeCell ref="B33:D33"/>
    <mergeCell ref="E33:M33"/>
    <mergeCell ref="B34:D34"/>
    <mergeCell ref="E34:M34"/>
    <mergeCell ref="B35:D35"/>
    <mergeCell ref="E35:M35"/>
    <mergeCell ref="B36:D36"/>
    <mergeCell ref="E36:M36"/>
    <mergeCell ref="B37:D37"/>
    <mergeCell ref="E37:M37"/>
  </mergeCells>
  <conditionalFormatting sqref="I7:I21">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dataValidations count="2">
    <dataValidation allowBlank="true" errorStyle="stop" operator="between" showDropDown="false" showErrorMessage="false" showInputMessage="false" sqref="E7:E21" type="list">
      <formula1>"Long,Short"</formula1>
      <formula2>0</formula2>
    </dataValidation>
    <dataValidation allowBlank="true" errorStyle="stop" operator="between" showDropDown="false" showErrorMessage="false" showInputMessage="false" sqref="M7:M21"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8" min="3" style="0" width="16"/>
  </cols>
  <sheetData>
    <row r="2" customFormat="false" ht="27.75" hidden="false" customHeight="true" outlineLevel="0" collapsed="false">
      <c r="B2" s="11" t="s">
        <v>250</v>
      </c>
      <c r="C2" s="11"/>
      <c r="D2" s="11"/>
      <c r="E2" s="11"/>
      <c r="F2" s="11"/>
      <c r="G2" s="11"/>
      <c r="H2" s="11"/>
    </row>
    <row r="3" customFormat="false" ht="15" hidden="false" customHeight="false" outlineLevel="0" collapsed="false">
      <c r="B3" s="12" t="s">
        <v>18</v>
      </c>
      <c r="C3" s="12"/>
      <c r="D3" s="12"/>
      <c r="E3" s="12"/>
      <c r="F3" s="12"/>
      <c r="G3" s="12"/>
      <c r="H3" s="12"/>
    </row>
    <row r="5" customFormat="false" ht="19.5" hidden="false" customHeight="true" outlineLevel="0" collapsed="false">
      <c r="B5" s="13" t="s">
        <v>251</v>
      </c>
      <c r="C5" s="13"/>
      <c r="D5" s="13"/>
      <c r="E5" s="13"/>
      <c r="F5" s="13"/>
      <c r="G5" s="13"/>
      <c r="H5" s="13"/>
    </row>
    <row r="6" customFormat="false" ht="15" hidden="false" customHeight="false" outlineLevel="0" collapsed="false">
      <c r="B6" s="22" t="s">
        <v>252</v>
      </c>
      <c r="C6" s="15" t="s">
        <v>253</v>
      </c>
      <c r="D6" s="15" t="s">
        <v>254</v>
      </c>
      <c r="E6" s="15" t="s">
        <v>255</v>
      </c>
      <c r="F6" s="15" t="s">
        <v>256</v>
      </c>
      <c r="G6" s="15" t="s">
        <v>257</v>
      </c>
      <c r="H6" s="15" t="s">
        <v>258</v>
      </c>
    </row>
    <row r="7" customFormat="false" ht="15" hidden="false" customHeight="false" outlineLevel="0" collapsed="false">
      <c r="B7" s="16" t="s">
        <v>259</v>
      </c>
      <c r="C7" s="17" t="n">
        <v>12000</v>
      </c>
      <c r="D7" s="17" t="n">
        <v>13500</v>
      </c>
      <c r="E7" s="17" t="n">
        <v>14200</v>
      </c>
      <c r="F7" s="17" t="n">
        <v>15800</v>
      </c>
      <c r="G7" s="26" t="n">
        <f aca="false">F7-C7</f>
        <v>3800</v>
      </c>
      <c r="H7" s="31" t="n">
        <f aca="false">IFERROR(F7/F15,0)</f>
        <v>0.0463479026107363</v>
      </c>
    </row>
    <row r="8" customFormat="false" ht="15" hidden="false" customHeight="false" outlineLevel="0" collapsed="false">
      <c r="B8" s="16" t="s">
        <v>260</v>
      </c>
      <c r="C8" s="17" t="n">
        <v>18000</v>
      </c>
      <c r="D8" s="17" t="n">
        <v>18200</v>
      </c>
      <c r="E8" s="17" t="n">
        <v>18900</v>
      </c>
      <c r="F8" s="17" t="n">
        <v>19500</v>
      </c>
      <c r="G8" s="26" t="n">
        <f aca="false">F8-C8</f>
        <v>1500</v>
      </c>
      <c r="H8" s="31" t="n">
        <f aca="false">IFERROR(F8/F15,0)</f>
        <v>0.05720152537401</v>
      </c>
    </row>
    <row r="9" customFormat="false" ht="15" hidden="false" customHeight="false" outlineLevel="0" collapsed="false">
      <c r="B9" s="16" t="s">
        <v>261</v>
      </c>
      <c r="C9" s="17" t="n">
        <v>45000</v>
      </c>
      <c r="D9" s="17" t="n">
        <v>48500</v>
      </c>
      <c r="E9" s="17" t="n">
        <v>52000</v>
      </c>
      <c r="F9" s="17" t="n">
        <v>58200</v>
      </c>
      <c r="G9" s="26" t="n">
        <f aca="false">F9-C9</f>
        <v>13200</v>
      </c>
      <c r="H9" s="31" t="n">
        <f aca="false">IFERROR(F9/F15,0)</f>
        <v>0.170724552654737</v>
      </c>
    </row>
    <row r="10" customFormat="false" ht="15" hidden="false" customHeight="false" outlineLevel="0" collapsed="false">
      <c r="B10" s="16" t="s">
        <v>262</v>
      </c>
      <c r="C10" s="17" t="n">
        <v>85000</v>
      </c>
      <c r="D10" s="17" t="n">
        <v>89200</v>
      </c>
      <c r="E10" s="17" t="n">
        <v>94500</v>
      </c>
      <c r="F10" s="17" t="n">
        <v>101300</v>
      </c>
      <c r="G10" s="26" t="n">
        <f aca="false">F10-C10</f>
        <v>16300</v>
      </c>
      <c r="H10" s="31" t="n">
        <f aca="false">IFERROR(F10/F15,0)</f>
        <v>0.297154590789088</v>
      </c>
    </row>
    <row r="11" customFormat="false" ht="15" hidden="false" customHeight="false" outlineLevel="0" collapsed="false">
      <c r="B11" s="16" t="s">
        <v>263</v>
      </c>
      <c r="C11" s="17" t="n">
        <v>22000</v>
      </c>
      <c r="D11" s="17" t="n">
        <v>24500</v>
      </c>
      <c r="E11" s="17" t="n">
        <v>21800</v>
      </c>
      <c r="F11" s="17" t="n">
        <v>26400</v>
      </c>
      <c r="G11" s="26" t="n">
        <f aca="false">F11-C11</f>
        <v>4400</v>
      </c>
      <c r="H11" s="31" t="n">
        <f aca="false">IFERROR(F11/F15,0)</f>
        <v>0.0774420651217366</v>
      </c>
    </row>
    <row r="12" customFormat="false" ht="15" hidden="false" customHeight="false" outlineLevel="0" collapsed="false">
      <c r="B12" s="16" t="s">
        <v>264</v>
      </c>
      <c r="C12" s="17" t="n">
        <v>95000</v>
      </c>
      <c r="D12" s="17" t="n">
        <v>96200</v>
      </c>
      <c r="E12" s="17" t="n">
        <v>97500</v>
      </c>
      <c r="F12" s="17" t="n">
        <v>98800</v>
      </c>
      <c r="G12" s="26" t="n">
        <f aca="false">F12-C12</f>
        <v>3800</v>
      </c>
      <c r="H12" s="31" t="n">
        <f aca="false">IFERROR(F12/F15,0)</f>
        <v>0.289821061894984</v>
      </c>
    </row>
    <row r="13" customFormat="false" ht="15" hidden="false" customHeight="false" outlineLevel="0" collapsed="false">
      <c r="B13" s="16" t="s">
        <v>265</v>
      </c>
      <c r="C13" s="17" t="n">
        <v>18000</v>
      </c>
      <c r="D13" s="17" t="n">
        <v>17200</v>
      </c>
      <c r="E13" s="17" t="n">
        <v>16400</v>
      </c>
      <c r="F13" s="17" t="n">
        <v>15600</v>
      </c>
      <c r="G13" s="26" t="n">
        <f aca="false">F13-C13</f>
        <v>-2400</v>
      </c>
      <c r="H13" s="31" t="n">
        <f aca="false">IFERROR(F13/F15,0)</f>
        <v>0.045761220299208</v>
      </c>
    </row>
    <row r="14" customFormat="false" ht="15" hidden="false" customHeight="false" outlineLevel="0" collapsed="false">
      <c r="B14" s="16" t="s">
        <v>266</v>
      </c>
      <c r="C14" s="17" t="n">
        <v>5000</v>
      </c>
      <c r="D14" s="17" t="n">
        <v>5100</v>
      </c>
      <c r="E14" s="17" t="n">
        <v>5200</v>
      </c>
      <c r="F14" s="17" t="n">
        <v>5300</v>
      </c>
      <c r="G14" s="26" t="n">
        <f aca="false">F14-C14</f>
        <v>300</v>
      </c>
      <c r="H14" s="31" t="n">
        <f aca="false">IFERROR(F14/F15,0)</f>
        <v>0.0155470812555001</v>
      </c>
    </row>
    <row r="15" customFormat="false" ht="15" hidden="false" customHeight="false" outlineLevel="0" collapsed="false">
      <c r="B15" s="19" t="s">
        <v>267</v>
      </c>
      <c r="C15" s="20" t="n">
        <f aca="false">SUM(C7:C14)</f>
        <v>300000</v>
      </c>
      <c r="D15" s="20" t="n">
        <f aca="false">SUM(D7:D14)</f>
        <v>312400</v>
      </c>
      <c r="E15" s="20" t="n">
        <f aca="false">SUM(E7:E14)</f>
        <v>320500</v>
      </c>
      <c r="F15" s="20" t="n">
        <f aca="false">SUM(F7:F14)</f>
        <v>340900</v>
      </c>
      <c r="G15" s="20" t="n">
        <f aca="false">F15-C15</f>
        <v>40900</v>
      </c>
      <c r="H15" s="36"/>
    </row>
    <row r="17" customFormat="false" ht="19.5" hidden="false" customHeight="true" outlineLevel="0" collapsed="false">
      <c r="B17" s="21" t="s">
        <v>268</v>
      </c>
      <c r="C17" s="21"/>
      <c r="D17" s="21"/>
      <c r="E17" s="21"/>
      <c r="F17" s="21"/>
      <c r="G17" s="21"/>
      <c r="H17" s="21"/>
    </row>
    <row r="18" customFormat="false" ht="15" hidden="false" customHeight="false" outlineLevel="0" collapsed="false">
      <c r="B18" s="22" t="s">
        <v>269</v>
      </c>
      <c r="C18" s="15" t="s">
        <v>253</v>
      </c>
      <c r="D18" s="15" t="s">
        <v>254</v>
      </c>
      <c r="E18" s="15" t="s">
        <v>255</v>
      </c>
      <c r="F18" s="15" t="s">
        <v>256</v>
      </c>
      <c r="G18" s="15" t="s">
        <v>257</v>
      </c>
      <c r="H18" s="15" t="s">
        <v>270</v>
      </c>
    </row>
    <row r="19" customFormat="false" ht="15" hidden="false" customHeight="false" outlineLevel="0" collapsed="false">
      <c r="B19" s="16" t="s">
        <v>271</v>
      </c>
      <c r="C19" s="17" t="n">
        <v>280000</v>
      </c>
      <c r="D19" s="17" t="n">
        <v>278500</v>
      </c>
      <c r="E19" s="17" t="n">
        <v>276900</v>
      </c>
      <c r="F19" s="17" t="n">
        <v>275200</v>
      </c>
      <c r="G19" s="26" t="n">
        <f aca="false">F19-C19</f>
        <v>-4800</v>
      </c>
      <c r="H19" s="31" t="n">
        <f aca="false">IFERROR(F19/F24,0)</f>
        <v>0.876433121019108</v>
      </c>
    </row>
    <row r="20" customFormat="false" ht="15" hidden="false" customHeight="false" outlineLevel="0" collapsed="false">
      <c r="B20" s="16" t="s">
        <v>120</v>
      </c>
      <c r="C20" s="17" t="n">
        <v>14500</v>
      </c>
      <c r="D20" s="17" t="n">
        <v>13200</v>
      </c>
      <c r="E20" s="17" t="n">
        <v>11900</v>
      </c>
      <c r="F20" s="17" t="n">
        <v>10500</v>
      </c>
      <c r="G20" s="26" t="n">
        <f aca="false">F20-C20</f>
        <v>-4000</v>
      </c>
      <c r="H20" s="31" t="n">
        <f aca="false">IFERROR(F20/F24,0)</f>
        <v>0.0334394904458599</v>
      </c>
    </row>
    <row r="21" customFormat="false" ht="15" hidden="false" customHeight="false" outlineLevel="0" collapsed="false">
      <c r="B21" s="16" t="s">
        <v>87</v>
      </c>
      <c r="C21" s="17" t="n">
        <v>22000</v>
      </c>
      <c r="D21" s="17" t="n">
        <v>21200</v>
      </c>
      <c r="E21" s="17" t="n">
        <v>20400</v>
      </c>
      <c r="F21" s="17" t="n">
        <v>19500</v>
      </c>
      <c r="G21" s="26" t="n">
        <f aca="false">F21-C21</f>
        <v>-2500</v>
      </c>
      <c r="H21" s="31" t="n">
        <f aca="false">IFERROR(F21/F24,0)</f>
        <v>0.0621019108280255</v>
      </c>
    </row>
    <row r="22" customFormat="false" ht="15" hidden="false" customHeight="false" outlineLevel="0" collapsed="false">
      <c r="B22" s="16" t="s">
        <v>272</v>
      </c>
      <c r="C22" s="17" t="n">
        <v>11700</v>
      </c>
      <c r="D22" s="17" t="n">
        <v>9800</v>
      </c>
      <c r="E22" s="17" t="n">
        <v>8200</v>
      </c>
      <c r="F22" s="17" t="n">
        <v>6400</v>
      </c>
      <c r="G22" s="26" t="n">
        <f aca="false">F22-C22</f>
        <v>-5300</v>
      </c>
      <c r="H22" s="31" t="n">
        <f aca="false">IFERROR(F22/F24,0)</f>
        <v>0.0203821656050955</v>
      </c>
    </row>
    <row r="23" customFormat="false" ht="15" hidden="false" customHeight="false" outlineLevel="0" collapsed="false">
      <c r="B23" s="16" t="s">
        <v>88</v>
      </c>
      <c r="C23" s="17" t="n">
        <v>5000</v>
      </c>
      <c r="D23" s="17" t="n">
        <v>4200</v>
      </c>
      <c r="E23" s="17" t="n">
        <v>3300</v>
      </c>
      <c r="F23" s="17" t="n">
        <v>2400</v>
      </c>
      <c r="G23" s="26" t="n">
        <f aca="false">F23-C23</f>
        <v>-2600</v>
      </c>
      <c r="H23" s="31" t="n">
        <f aca="false">IFERROR(F23/F24,0)</f>
        <v>0.00764331210191083</v>
      </c>
    </row>
    <row r="24" customFormat="false" ht="15" hidden="false" customHeight="false" outlineLevel="0" collapsed="false">
      <c r="B24" s="19" t="s">
        <v>273</v>
      </c>
      <c r="C24" s="20" t="n">
        <f aca="false">SUM(C19:C23)</f>
        <v>333200</v>
      </c>
      <c r="D24" s="20" t="n">
        <f aca="false">SUM(D19:D23)</f>
        <v>326900</v>
      </c>
      <c r="E24" s="20" t="n">
        <f aca="false">SUM(E19:E23)</f>
        <v>320700</v>
      </c>
      <c r="F24" s="20" t="n">
        <f aca="false">SUM(F19:F23)</f>
        <v>314000</v>
      </c>
      <c r="G24" s="20" t="n">
        <f aca="false">F24-C24</f>
        <v>-19200</v>
      </c>
      <c r="H24" s="36"/>
    </row>
    <row r="26" customFormat="false" ht="19.5" hidden="false" customHeight="true" outlineLevel="0" collapsed="false">
      <c r="B26" s="8" t="s">
        <v>274</v>
      </c>
      <c r="C26" s="8"/>
      <c r="D26" s="8"/>
      <c r="E26" s="8"/>
      <c r="F26" s="8"/>
      <c r="G26" s="8"/>
      <c r="H26" s="8"/>
    </row>
    <row r="27" customFormat="false" ht="15" hidden="false" customHeight="false" outlineLevel="0" collapsed="false">
      <c r="B27" s="22" t="s">
        <v>275</v>
      </c>
      <c r="C27" s="18" t="n">
        <f aca="false">C15-C24</f>
        <v>-33200</v>
      </c>
      <c r="D27" s="18" t="n">
        <f aca="false">D15-D24</f>
        <v>-14500</v>
      </c>
      <c r="E27" s="18" t="n">
        <f aca="false">E15-E24</f>
        <v>-200</v>
      </c>
      <c r="F27" s="18" t="n">
        <f aca="false">F15-F24</f>
        <v>26900</v>
      </c>
      <c r="G27" s="18" t="n">
        <f aca="false">F27-C27</f>
        <v>60100</v>
      </c>
    </row>
    <row r="28" customFormat="false" ht="15" hidden="false" customHeight="false" outlineLevel="0" collapsed="false">
      <c r="B28" s="30" t="s">
        <v>276</v>
      </c>
      <c r="F28" s="31" t="n">
        <f aca="false">IFERROR(F24/F15,0)</f>
        <v>0.921091229099443</v>
      </c>
    </row>
    <row r="29" customFormat="false" ht="15" hidden="false" customHeight="false" outlineLevel="0" collapsed="false">
      <c r="B29" s="30" t="s">
        <v>277</v>
      </c>
      <c r="F29" s="31" t="n">
        <f aca="false">IFERROR((F7+F8)/F24,0)</f>
        <v>0.112420382165605</v>
      </c>
    </row>
  </sheetData>
  <mergeCells count="5">
    <mergeCell ref="B2:H2"/>
    <mergeCell ref="B3:H3"/>
    <mergeCell ref="B5:H5"/>
    <mergeCell ref="B17:H17"/>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9" min="3" style="0" width="16"/>
  </cols>
  <sheetData>
    <row r="2" customFormat="false" ht="27.75" hidden="false" customHeight="true" outlineLevel="0" collapsed="false">
      <c r="B2" s="11" t="s">
        <v>278</v>
      </c>
      <c r="C2" s="11"/>
      <c r="D2" s="11"/>
      <c r="E2" s="11"/>
      <c r="F2" s="11"/>
      <c r="G2" s="11"/>
      <c r="H2" s="11"/>
      <c r="I2" s="11"/>
    </row>
    <row r="3" customFormat="false" ht="15" hidden="false" customHeight="false" outlineLevel="0" collapsed="false">
      <c r="B3" s="12" t="s">
        <v>20</v>
      </c>
      <c r="C3" s="12"/>
      <c r="D3" s="12"/>
      <c r="E3" s="12"/>
      <c r="F3" s="12"/>
      <c r="G3" s="12"/>
      <c r="H3" s="12"/>
      <c r="I3" s="12"/>
    </row>
    <row r="5" customFormat="false" ht="19.5" hidden="false" customHeight="true" outlineLevel="0" collapsed="false">
      <c r="B5" s="13" t="s">
        <v>138</v>
      </c>
      <c r="C5" s="13"/>
      <c r="D5" s="13"/>
      <c r="E5" s="13"/>
      <c r="F5" s="13"/>
      <c r="G5" s="13"/>
      <c r="H5" s="13"/>
      <c r="I5" s="13"/>
    </row>
    <row r="6" customFormat="false" ht="15" hidden="false" customHeight="false" outlineLevel="0" collapsed="false">
      <c r="B6" s="16" t="s">
        <v>279</v>
      </c>
      <c r="C6" s="17" t="n">
        <v>150000</v>
      </c>
    </row>
    <row r="7" customFormat="false" ht="15" hidden="false" customHeight="false" outlineLevel="0" collapsed="false">
      <c r="B7" s="16" t="s">
        <v>280</v>
      </c>
      <c r="C7" s="17" t="n">
        <v>60000</v>
      </c>
    </row>
    <row r="8" customFormat="false" ht="15" hidden="false" customHeight="false" outlineLevel="0" collapsed="false">
      <c r="B8" s="16" t="s">
        <v>281</v>
      </c>
      <c r="C8" s="17" t="n">
        <v>45000</v>
      </c>
    </row>
    <row r="9" customFormat="false" ht="15" hidden="false" customHeight="false" outlineLevel="0" collapsed="false">
      <c r="B9" s="16" t="s">
        <v>282</v>
      </c>
      <c r="C9" s="39" t="n">
        <v>0.07</v>
      </c>
    </row>
    <row r="10" customFormat="false" ht="15" hidden="false" customHeight="false" outlineLevel="0" collapsed="false">
      <c r="B10" s="16" t="s">
        <v>283</v>
      </c>
      <c r="C10" s="39" t="n">
        <v>0.028</v>
      </c>
    </row>
    <row r="11" customFormat="false" ht="15" hidden="false" customHeight="false" outlineLevel="0" collapsed="false">
      <c r="B11" s="16" t="s">
        <v>284</v>
      </c>
      <c r="C11" s="39" t="n">
        <v>0.04</v>
      </c>
    </row>
    <row r="12" customFormat="false" ht="15" hidden="false" customHeight="false" outlineLevel="0" collapsed="false">
      <c r="B12" s="16" t="s">
        <v>285</v>
      </c>
      <c r="C12" s="39" t="n">
        <v>0.04</v>
      </c>
    </row>
    <row r="14" customFormat="false" ht="19.5" hidden="false" customHeight="true" outlineLevel="0" collapsed="false">
      <c r="B14" s="8" t="s">
        <v>286</v>
      </c>
      <c r="C14" s="8"/>
      <c r="D14" s="8"/>
      <c r="E14" s="8"/>
      <c r="F14" s="8"/>
      <c r="G14" s="8"/>
      <c r="H14" s="8"/>
      <c r="I14" s="8"/>
    </row>
    <row r="15" customFormat="false" ht="15" hidden="false" customHeight="false" outlineLevel="0" collapsed="false">
      <c r="B15" s="40" t="s">
        <v>287</v>
      </c>
      <c r="C15" s="18" t="n">
        <f aca="false">C8/C12</f>
        <v>1125000</v>
      </c>
    </row>
    <row r="16" customFormat="false" ht="15" hidden="false" customHeight="false" outlineLevel="0" collapsed="false">
      <c r="B16" s="40" t="s">
        <v>288</v>
      </c>
      <c r="C16" s="18" t="n">
        <f aca="false">C15-C7</f>
        <v>1065000</v>
      </c>
    </row>
    <row r="18" customFormat="false" ht="19.5" hidden="false" customHeight="true" outlineLevel="0" collapsed="false">
      <c r="B18" s="21" t="s">
        <v>289</v>
      </c>
      <c r="C18" s="21"/>
      <c r="D18" s="21"/>
      <c r="E18" s="21"/>
      <c r="F18" s="21"/>
      <c r="G18" s="21"/>
      <c r="H18" s="21"/>
      <c r="I18" s="21"/>
    </row>
    <row r="19" customFormat="false" ht="15" hidden="false" customHeight="false" outlineLevel="0" collapsed="false">
      <c r="B19" s="15" t="s">
        <v>157</v>
      </c>
      <c r="C19" s="15" t="s">
        <v>159</v>
      </c>
      <c r="D19" s="15" t="s">
        <v>290</v>
      </c>
      <c r="E19" s="15" t="s">
        <v>161</v>
      </c>
      <c r="F19" s="15" t="s">
        <v>162</v>
      </c>
      <c r="G19" s="15" t="s">
        <v>291</v>
      </c>
      <c r="H19" s="15" t="s">
        <v>292</v>
      </c>
    </row>
    <row r="20" customFormat="false" ht="15" hidden="false" customHeight="false" outlineLevel="0" collapsed="false">
      <c r="B20" s="34" t="n">
        <v>1</v>
      </c>
      <c r="C20" s="26" t="n">
        <f aca="false">$C$7</f>
        <v>60000</v>
      </c>
      <c r="D20" s="26" t="n">
        <f aca="false">$C$9*(1+$C$13)^(B20-1)</f>
        <v>0.07</v>
      </c>
      <c r="E20" s="26" t="n">
        <f aca="false">(C20+D20/2)*$C$10</f>
        <v>1680.00098</v>
      </c>
      <c r="F20" s="18" t="n">
        <f aca="false">C20+D20+E20</f>
        <v>61680.07098</v>
      </c>
      <c r="G20" s="26" t="n">
        <f aca="false">$C$15*(1+$C$11)^(B20-1)</f>
        <v>1125000</v>
      </c>
      <c r="H20" s="43" t="str">
        <f aca="false">IF(F20&gt;=G20,"Yes","No")</f>
        <v>No</v>
      </c>
    </row>
    <row r="21" customFormat="false" ht="15" hidden="false" customHeight="false" outlineLevel="0" collapsed="false">
      <c r="B21" s="34" t="n">
        <v>2</v>
      </c>
      <c r="C21" s="26" t="n">
        <f aca="false">F20</f>
        <v>61680.07098</v>
      </c>
      <c r="D21" s="26" t="n">
        <f aca="false">$C$9*(1+$C$13)^(B21-1)</f>
        <v>0.07</v>
      </c>
      <c r="E21" s="26" t="n">
        <f aca="false">(C21+D21/2)*$C$10</f>
        <v>1727.04296744</v>
      </c>
      <c r="F21" s="18" t="n">
        <f aca="false">C21+D21+E21</f>
        <v>63407.18394744</v>
      </c>
      <c r="G21" s="26" t="n">
        <f aca="false">$C$15*(1+$C$11)^(B21-1)</f>
        <v>1170000</v>
      </c>
      <c r="H21" s="43" t="str">
        <f aca="false">IF(F21&gt;=G21,"Yes","No")</f>
        <v>No</v>
      </c>
    </row>
    <row r="22" customFormat="false" ht="15" hidden="false" customHeight="false" outlineLevel="0" collapsed="false">
      <c r="B22" s="34" t="n">
        <v>3</v>
      </c>
      <c r="C22" s="26" t="n">
        <f aca="false">F21</f>
        <v>63407.18394744</v>
      </c>
      <c r="D22" s="26" t="n">
        <f aca="false">$C$9*(1+$C$13)^(B22-1)</f>
        <v>0.07</v>
      </c>
      <c r="E22" s="26" t="n">
        <f aca="false">(C22+D22/2)*$C$10</f>
        <v>1775.40213052832</v>
      </c>
      <c r="F22" s="18" t="n">
        <f aca="false">C22+D22+E22</f>
        <v>65182.6560779683</v>
      </c>
      <c r="G22" s="26" t="n">
        <f aca="false">$C$15*(1+$C$11)^(B22-1)</f>
        <v>1216800</v>
      </c>
      <c r="H22" s="43" t="str">
        <f aca="false">IF(F22&gt;=G22,"Yes","No")</f>
        <v>No</v>
      </c>
    </row>
    <row r="23" customFormat="false" ht="15" hidden="false" customHeight="false" outlineLevel="0" collapsed="false">
      <c r="B23" s="34" t="n">
        <v>4</v>
      </c>
      <c r="C23" s="26" t="n">
        <f aca="false">F22</f>
        <v>65182.6560779683</v>
      </c>
      <c r="D23" s="26" t="n">
        <f aca="false">$C$9*(1+$C$13)^(B23-1)</f>
        <v>0.07</v>
      </c>
      <c r="E23" s="26" t="n">
        <f aca="false">(C23+D23/2)*$C$10</f>
        <v>1825.11535018311</v>
      </c>
      <c r="F23" s="18" t="n">
        <f aca="false">C23+D23+E23</f>
        <v>67007.8414281514</v>
      </c>
      <c r="G23" s="26" t="n">
        <f aca="false">$C$15*(1+$C$11)^(B23-1)</f>
        <v>1265472</v>
      </c>
      <c r="H23" s="43" t="str">
        <f aca="false">IF(F23&gt;=G23,"Yes","No")</f>
        <v>No</v>
      </c>
    </row>
    <row r="24" customFormat="false" ht="15" hidden="false" customHeight="false" outlineLevel="0" collapsed="false">
      <c r="B24" s="34" t="n">
        <v>5</v>
      </c>
      <c r="C24" s="26" t="n">
        <f aca="false">F23</f>
        <v>67007.8414281514</v>
      </c>
      <c r="D24" s="26" t="n">
        <f aca="false">$C$9*(1+$C$13)^(B24-1)</f>
        <v>0.07</v>
      </c>
      <c r="E24" s="26" t="n">
        <f aca="false">(C24+D24/2)*$C$10</f>
        <v>1876.22053998824</v>
      </c>
      <c r="F24" s="18" t="n">
        <f aca="false">C24+D24+E24</f>
        <v>68884.1319681397</v>
      </c>
      <c r="G24" s="26" t="n">
        <f aca="false">$C$15*(1+$C$11)^(B24-1)</f>
        <v>1316090.88</v>
      </c>
      <c r="H24" s="43" t="str">
        <f aca="false">IF(F24&gt;=G24,"Yes","No")</f>
        <v>No</v>
      </c>
    </row>
    <row r="25" customFormat="false" ht="15" hidden="false" customHeight="false" outlineLevel="0" collapsed="false">
      <c r="B25" s="34" t="n">
        <v>6</v>
      </c>
      <c r="C25" s="26" t="n">
        <f aca="false">F24</f>
        <v>68884.1319681397</v>
      </c>
      <c r="D25" s="26" t="n">
        <f aca="false">$C$9*(1+$C$13)^(B25-1)</f>
        <v>0.07</v>
      </c>
      <c r="E25" s="26" t="n">
        <f aca="false">(C25+D25/2)*$C$10</f>
        <v>1928.75667510791</v>
      </c>
      <c r="F25" s="18" t="n">
        <f aca="false">C25+D25+E25</f>
        <v>70812.9586432476</v>
      </c>
      <c r="G25" s="26" t="n">
        <f aca="false">$C$15*(1+$C$11)^(B25-1)</f>
        <v>1368734.5152</v>
      </c>
      <c r="H25" s="43" t="str">
        <f aca="false">IF(F25&gt;=G25,"Yes","No")</f>
        <v>No</v>
      </c>
    </row>
    <row r="26" customFormat="false" ht="15" hidden="false" customHeight="false" outlineLevel="0" collapsed="false">
      <c r="B26" s="34" t="n">
        <v>7</v>
      </c>
      <c r="C26" s="26" t="n">
        <f aca="false">F25</f>
        <v>70812.9586432476</v>
      </c>
      <c r="D26" s="26" t="n">
        <f aca="false">$C$9*(1+$C$13)^(B26-1)</f>
        <v>0.07</v>
      </c>
      <c r="E26" s="26" t="n">
        <f aca="false">(C26+D26/2)*$C$10</f>
        <v>1982.76382201093</v>
      </c>
      <c r="F26" s="18" t="n">
        <f aca="false">C26+D26+E26</f>
        <v>72795.7924652585</v>
      </c>
      <c r="G26" s="26" t="n">
        <f aca="false">$C$15*(1+$C$11)^(B26-1)</f>
        <v>1423483.895808</v>
      </c>
      <c r="H26" s="43" t="str">
        <f aca="false">IF(F26&gt;=G26,"Yes","No")</f>
        <v>No</v>
      </c>
    </row>
    <row r="27" customFormat="false" ht="15" hidden="false" customHeight="false" outlineLevel="0" collapsed="false">
      <c r="B27" s="34" t="n">
        <v>8</v>
      </c>
      <c r="C27" s="26" t="n">
        <f aca="false">F26</f>
        <v>72795.7924652585</v>
      </c>
      <c r="D27" s="26" t="n">
        <f aca="false">$C$9*(1+$C$13)^(B27-1)</f>
        <v>0.07</v>
      </c>
      <c r="E27" s="26" t="n">
        <f aca="false">(C27+D27/2)*$C$10</f>
        <v>2038.28316902724</v>
      </c>
      <c r="F27" s="18" t="n">
        <f aca="false">C27+D27+E27</f>
        <v>74834.1456342858</v>
      </c>
      <c r="G27" s="26" t="n">
        <f aca="false">$C$15*(1+$C$11)^(B27-1)</f>
        <v>1480423.25164032</v>
      </c>
      <c r="H27" s="43" t="str">
        <f aca="false">IF(F27&gt;=G27,"Yes","No")</f>
        <v>No</v>
      </c>
    </row>
    <row r="28" customFormat="false" ht="15" hidden="false" customHeight="false" outlineLevel="0" collapsed="false">
      <c r="B28" s="34" t="n">
        <v>9</v>
      </c>
      <c r="C28" s="26" t="n">
        <f aca="false">F27</f>
        <v>74834.1456342858</v>
      </c>
      <c r="D28" s="26" t="n">
        <f aca="false">$C$9*(1+$C$13)^(B28-1)</f>
        <v>0.07</v>
      </c>
      <c r="E28" s="26" t="n">
        <f aca="false">(C28+D28/2)*$C$10</f>
        <v>2095.35705776</v>
      </c>
      <c r="F28" s="18" t="n">
        <f aca="false">C28+D28+E28</f>
        <v>76929.5726920458</v>
      </c>
      <c r="G28" s="26" t="n">
        <f aca="false">$C$15*(1+$C$11)^(B28-1)</f>
        <v>1539640.18170593</v>
      </c>
      <c r="H28" s="43" t="str">
        <f aca="false">IF(F28&gt;=G28,"Yes","No")</f>
        <v>No</v>
      </c>
    </row>
    <row r="29" customFormat="false" ht="15" hidden="false" customHeight="false" outlineLevel="0" collapsed="false">
      <c r="B29" s="34" t="n">
        <v>10</v>
      </c>
      <c r="C29" s="26" t="n">
        <f aca="false">F28</f>
        <v>76929.5726920458</v>
      </c>
      <c r="D29" s="26" t="n">
        <f aca="false">$C$9*(1+$C$13)^(B29-1)</f>
        <v>0.07</v>
      </c>
      <c r="E29" s="26" t="n">
        <f aca="false">(C29+D29/2)*$C$10</f>
        <v>2154.02901537728</v>
      </c>
      <c r="F29" s="18" t="n">
        <f aca="false">C29+D29+E29</f>
        <v>79083.6717074231</v>
      </c>
      <c r="G29" s="26" t="n">
        <f aca="false">$C$15*(1+$C$11)^(B29-1)</f>
        <v>1601225.78897417</v>
      </c>
      <c r="H29" s="43" t="str">
        <f aca="false">IF(F29&gt;=G29,"Yes","No")</f>
        <v>No</v>
      </c>
    </row>
    <row r="30" customFormat="false" ht="15" hidden="false" customHeight="false" outlineLevel="0" collapsed="false">
      <c r="B30" s="34" t="n">
        <v>11</v>
      </c>
      <c r="C30" s="26" t="n">
        <f aca="false">F29</f>
        <v>79083.6717074231</v>
      </c>
      <c r="D30" s="26" t="n">
        <f aca="false">$C$9*(1+$C$13)^(B30-1)</f>
        <v>0.07</v>
      </c>
      <c r="E30" s="26" t="n">
        <f aca="false">(C30+D30/2)*$C$10</f>
        <v>2214.34378780785</v>
      </c>
      <c r="F30" s="18" t="n">
        <f aca="false">C30+D30+E30</f>
        <v>81298.0854952309</v>
      </c>
      <c r="G30" s="26" t="n">
        <f aca="false">$C$15*(1+$C$11)^(B30-1)</f>
        <v>1665274.82053314</v>
      </c>
      <c r="H30" s="43" t="str">
        <f aca="false">IF(F30&gt;=G30,"Yes","No")</f>
        <v>No</v>
      </c>
    </row>
    <row r="31" customFormat="false" ht="15" hidden="false" customHeight="false" outlineLevel="0" collapsed="false">
      <c r="B31" s="34" t="n">
        <v>12</v>
      </c>
      <c r="C31" s="26" t="n">
        <f aca="false">F30</f>
        <v>81298.0854952309</v>
      </c>
      <c r="D31" s="26" t="n">
        <f aca="false">$C$9*(1+$C$13)^(B31-1)</f>
        <v>0.07</v>
      </c>
      <c r="E31" s="26" t="n">
        <f aca="false">(C31+D31/2)*$C$10</f>
        <v>2276.34737386647</v>
      </c>
      <c r="F31" s="18" t="n">
        <f aca="false">C31+D31+E31</f>
        <v>83574.5028690974</v>
      </c>
      <c r="G31" s="26" t="n">
        <f aca="false">$C$15*(1+$C$11)^(B31-1)</f>
        <v>1731885.81335446</v>
      </c>
      <c r="H31" s="43" t="str">
        <f aca="false">IF(F31&gt;=G31,"Yes","No")</f>
        <v>No</v>
      </c>
    </row>
    <row r="32" customFormat="false" ht="15" hidden="false" customHeight="false" outlineLevel="0" collapsed="false">
      <c r="B32" s="34" t="n">
        <v>13</v>
      </c>
      <c r="C32" s="26" t="n">
        <f aca="false">F31</f>
        <v>83574.5028690974</v>
      </c>
      <c r="D32" s="26" t="n">
        <f aca="false">$C$9*(1+$C$13)^(B32-1)</f>
        <v>0.07</v>
      </c>
      <c r="E32" s="26" t="n">
        <f aca="false">(C32+D32/2)*$C$10</f>
        <v>2340.08706033473</v>
      </c>
      <c r="F32" s="18" t="n">
        <f aca="false">C32+D32+E32</f>
        <v>85914.6599294321</v>
      </c>
      <c r="G32" s="26" t="n">
        <f aca="false">$C$15*(1+$C$11)^(B32-1)</f>
        <v>1801161.24588864</v>
      </c>
      <c r="H32" s="43" t="str">
        <f aca="false">IF(F32&gt;=G32,"Yes","No")</f>
        <v>No</v>
      </c>
    </row>
    <row r="33" customFormat="false" ht="15" hidden="false" customHeight="false" outlineLevel="0" collapsed="false">
      <c r="B33" s="34" t="n">
        <v>14</v>
      </c>
      <c r="C33" s="26" t="n">
        <f aca="false">F32</f>
        <v>85914.6599294321</v>
      </c>
      <c r="D33" s="26" t="n">
        <f aca="false">$C$9*(1+$C$13)^(B33-1)</f>
        <v>0.07</v>
      </c>
      <c r="E33" s="26" t="n">
        <f aca="false">(C33+D33/2)*$C$10</f>
        <v>2405.6114580241</v>
      </c>
      <c r="F33" s="18" t="n">
        <f aca="false">C33+D33+E33</f>
        <v>88320.3413874562</v>
      </c>
      <c r="G33" s="26" t="n">
        <f aca="false">$C$15*(1+$C$11)^(B33-1)</f>
        <v>1873207.69572419</v>
      </c>
      <c r="H33" s="43" t="str">
        <f aca="false">IF(F33&gt;=G33,"Yes","No")</f>
        <v>No</v>
      </c>
    </row>
    <row r="34" customFormat="false" ht="15" hidden="false" customHeight="false" outlineLevel="0" collapsed="false">
      <c r="B34" s="34" t="n">
        <v>15</v>
      </c>
      <c r="C34" s="26" t="n">
        <f aca="false">F33</f>
        <v>88320.3413874562</v>
      </c>
      <c r="D34" s="26" t="n">
        <f aca="false">$C$9*(1+$C$13)^(B34-1)</f>
        <v>0.07</v>
      </c>
      <c r="E34" s="26" t="n">
        <f aca="false">(C34+D34/2)*$C$10</f>
        <v>2472.97053884878</v>
      </c>
      <c r="F34" s="18" t="n">
        <f aca="false">C34+D34+E34</f>
        <v>90793.381926305</v>
      </c>
      <c r="G34" s="26" t="n">
        <f aca="false">$C$15*(1+$C$11)^(B34-1)</f>
        <v>1948136.00355315</v>
      </c>
      <c r="H34" s="43" t="str">
        <f aca="false">IF(F34&gt;=G34,"Yes","No")</f>
        <v>No</v>
      </c>
    </row>
    <row r="35" customFormat="false" ht="15" hidden="false" customHeight="false" outlineLevel="0" collapsed="false">
      <c r="B35" s="34" t="n">
        <v>16</v>
      </c>
      <c r="C35" s="26" t="n">
        <f aca="false">F34</f>
        <v>90793.381926305</v>
      </c>
      <c r="D35" s="26" t="n">
        <f aca="false">$C$9*(1+$C$13)^(B35-1)</f>
        <v>0.07</v>
      </c>
      <c r="E35" s="26" t="n">
        <f aca="false">(C35+D35/2)*$C$10</f>
        <v>2542.21567393654</v>
      </c>
      <c r="F35" s="18" t="n">
        <f aca="false">C35+D35+E35</f>
        <v>93335.6676002416</v>
      </c>
      <c r="G35" s="26" t="n">
        <f aca="false">$C$15*(1+$C$11)^(B35-1)</f>
        <v>2026061.44369528</v>
      </c>
      <c r="H35" s="43" t="str">
        <f aca="false">IF(F35&gt;=G35,"Yes","No")</f>
        <v>No</v>
      </c>
    </row>
    <row r="36" customFormat="false" ht="15" hidden="false" customHeight="false" outlineLevel="0" collapsed="false">
      <c r="B36" s="34" t="n">
        <v>17</v>
      </c>
      <c r="C36" s="26" t="n">
        <f aca="false">F35</f>
        <v>93335.6676002416</v>
      </c>
      <c r="D36" s="26" t="n">
        <f aca="false">$C$9*(1+$C$13)^(B36-1)</f>
        <v>0.07</v>
      </c>
      <c r="E36" s="26" t="n">
        <f aca="false">(C36+D36/2)*$C$10</f>
        <v>2613.39967280676</v>
      </c>
      <c r="F36" s="18" t="n">
        <f aca="false">C36+D36+E36</f>
        <v>95949.1372730483</v>
      </c>
      <c r="G36" s="26" t="n">
        <f aca="false">$C$15*(1+$C$11)^(B36-1)</f>
        <v>2107103.90144309</v>
      </c>
      <c r="H36" s="43" t="str">
        <f aca="false">IF(F36&gt;=G36,"Yes","No")</f>
        <v>No</v>
      </c>
    </row>
    <row r="37" customFormat="false" ht="15" hidden="false" customHeight="false" outlineLevel="0" collapsed="false">
      <c r="B37" s="34" t="n">
        <v>18</v>
      </c>
      <c r="C37" s="26" t="n">
        <f aca="false">F36</f>
        <v>95949.1372730483</v>
      </c>
      <c r="D37" s="26" t="n">
        <f aca="false">$C$9*(1+$C$13)^(B37-1)</f>
        <v>0.07</v>
      </c>
      <c r="E37" s="26" t="n">
        <f aca="false">(C37+D37/2)*$C$10</f>
        <v>2686.57682364535</v>
      </c>
      <c r="F37" s="18" t="n">
        <f aca="false">C37+D37+E37</f>
        <v>98635.7840966937</v>
      </c>
      <c r="G37" s="26" t="n">
        <f aca="false">$C$15*(1+$C$11)^(B37-1)</f>
        <v>2191388.05750082</v>
      </c>
      <c r="H37" s="43" t="str">
        <f aca="false">IF(F37&gt;=G37,"Yes","No")</f>
        <v>No</v>
      </c>
    </row>
    <row r="38" customFormat="false" ht="15" hidden="false" customHeight="false" outlineLevel="0" collapsed="false">
      <c r="B38" s="34" t="n">
        <v>19</v>
      </c>
      <c r="C38" s="26" t="n">
        <f aca="false">F37</f>
        <v>98635.7840966937</v>
      </c>
      <c r="D38" s="26" t="n">
        <f aca="false">$C$9*(1+$C$13)^(B38-1)</f>
        <v>0.07</v>
      </c>
      <c r="E38" s="26" t="n">
        <f aca="false">(C38+D38/2)*$C$10</f>
        <v>2761.80293470742</v>
      </c>
      <c r="F38" s="18" t="n">
        <f aca="false">C38+D38+E38</f>
        <v>101397.657031401</v>
      </c>
      <c r="G38" s="26" t="n">
        <f aca="false">$C$15*(1+$C$11)^(B38-1)</f>
        <v>2279043.57980085</v>
      </c>
      <c r="H38" s="43" t="str">
        <f aca="false">IF(F38&gt;=G38,"Yes","No")</f>
        <v>No</v>
      </c>
    </row>
    <row r="39" customFormat="false" ht="15" hidden="false" customHeight="false" outlineLevel="0" collapsed="false">
      <c r="B39" s="34" t="n">
        <v>20</v>
      </c>
      <c r="C39" s="26" t="n">
        <f aca="false">F38</f>
        <v>101397.657031401</v>
      </c>
      <c r="D39" s="26" t="n">
        <f aca="false">$C$9*(1+$C$13)^(B39-1)</f>
        <v>0.07</v>
      </c>
      <c r="E39" s="26" t="n">
        <f aca="false">(C39+D39/2)*$C$10</f>
        <v>2839.13537687923</v>
      </c>
      <c r="F39" s="18" t="n">
        <f aca="false">C39+D39+E39</f>
        <v>104236.86240828</v>
      </c>
      <c r="G39" s="26" t="n">
        <f aca="false">$C$15*(1+$C$11)^(B39-1)</f>
        <v>2370205.32299288</v>
      </c>
      <c r="H39" s="43" t="str">
        <f aca="false">IF(F39&gt;=G39,"Yes","No")</f>
        <v>No</v>
      </c>
    </row>
    <row r="40" customFormat="false" ht="15" hidden="false" customHeight="false" outlineLevel="0" collapsed="false">
      <c r="B40" s="34" t="n">
        <v>21</v>
      </c>
      <c r="C40" s="26" t="n">
        <f aca="false">F39</f>
        <v>104236.86240828</v>
      </c>
      <c r="D40" s="26" t="n">
        <f aca="false">$C$9*(1+$C$13)^(B40-1)</f>
        <v>0.07</v>
      </c>
      <c r="E40" s="26" t="n">
        <f aca="false">(C40+D40/2)*$C$10</f>
        <v>2918.63312743185</v>
      </c>
      <c r="F40" s="18" t="n">
        <f aca="false">C40+D40+E40</f>
        <v>107155.565535712</v>
      </c>
      <c r="G40" s="26" t="n">
        <f aca="false">$C$15*(1+$C$11)^(B40-1)</f>
        <v>2465013.5359126</v>
      </c>
      <c r="H40" s="43" t="str">
        <f aca="false">IF(F40&gt;=G40,"Yes","No")</f>
        <v>No</v>
      </c>
    </row>
    <row r="41" customFormat="false" ht="15" hidden="false" customHeight="false" outlineLevel="0" collapsed="false">
      <c r="B41" s="34" t="n">
        <v>22</v>
      </c>
      <c r="C41" s="26" t="n">
        <f aca="false">F40</f>
        <v>107155.565535712</v>
      </c>
      <c r="D41" s="26" t="n">
        <f aca="false">$C$9*(1+$C$13)^(B41-1)</f>
        <v>0.07</v>
      </c>
      <c r="E41" s="26" t="n">
        <f aca="false">(C41+D41/2)*$C$10</f>
        <v>3000.35681499994</v>
      </c>
      <c r="F41" s="18" t="n">
        <f aca="false">C41+D41+E41</f>
        <v>110155.992350712</v>
      </c>
      <c r="G41" s="26" t="n">
        <f aca="false">$C$15*(1+$C$11)^(B41-1)</f>
        <v>2563614.0773491</v>
      </c>
      <c r="H41" s="43" t="str">
        <f aca="false">IF(F41&gt;=G41,"Yes","No")</f>
        <v>No</v>
      </c>
    </row>
    <row r="42" customFormat="false" ht="15" hidden="false" customHeight="false" outlineLevel="0" collapsed="false">
      <c r="B42" s="34" t="n">
        <v>23</v>
      </c>
      <c r="C42" s="26" t="n">
        <f aca="false">F41</f>
        <v>110155.992350712</v>
      </c>
      <c r="D42" s="26" t="n">
        <f aca="false">$C$9*(1+$C$13)^(B42-1)</f>
        <v>0.07</v>
      </c>
      <c r="E42" s="26" t="n">
        <f aca="false">(C42+D42/2)*$C$10</f>
        <v>3084.36876581994</v>
      </c>
      <c r="F42" s="18" t="n">
        <f aca="false">C42+D42+E42</f>
        <v>113240.431116532</v>
      </c>
      <c r="G42" s="26" t="n">
        <f aca="false">$C$15*(1+$C$11)^(B42-1)</f>
        <v>2666158.64044307</v>
      </c>
      <c r="H42" s="43" t="str">
        <f aca="false">IF(F42&gt;=G42,"Yes","No")</f>
        <v>No</v>
      </c>
    </row>
    <row r="43" customFormat="false" ht="15" hidden="false" customHeight="false" outlineLevel="0" collapsed="false">
      <c r="B43" s="34" t="n">
        <v>24</v>
      </c>
      <c r="C43" s="26" t="n">
        <f aca="false">F42</f>
        <v>113240.431116532</v>
      </c>
      <c r="D43" s="26" t="n">
        <f aca="false">$C$9*(1+$C$13)^(B43-1)</f>
        <v>0.07</v>
      </c>
      <c r="E43" s="26" t="n">
        <f aca="false">(C43+D43/2)*$C$10</f>
        <v>3170.7330512629</v>
      </c>
      <c r="F43" s="18" t="n">
        <f aca="false">C43+D43+E43</f>
        <v>116411.234167795</v>
      </c>
      <c r="G43" s="26" t="n">
        <f aca="false">$C$15*(1+$C$11)^(B43-1)</f>
        <v>2772804.98606079</v>
      </c>
      <c r="H43" s="43" t="str">
        <f aca="false">IF(F43&gt;=G43,"Yes","No")</f>
        <v>No</v>
      </c>
    </row>
    <row r="44" customFormat="false" ht="15" hidden="false" customHeight="false" outlineLevel="0" collapsed="false">
      <c r="B44" s="34" t="n">
        <v>25</v>
      </c>
      <c r="C44" s="26" t="n">
        <f aca="false">F43</f>
        <v>116411.234167795</v>
      </c>
      <c r="D44" s="26" t="n">
        <f aca="false">$C$9*(1+$C$13)^(B44-1)</f>
        <v>0.07</v>
      </c>
      <c r="E44" s="26" t="n">
        <f aca="false">(C44+D44/2)*$C$10</f>
        <v>3259.51553669826</v>
      </c>
      <c r="F44" s="18" t="n">
        <f aca="false">C44+D44+E44</f>
        <v>119670.819704493</v>
      </c>
      <c r="G44" s="26" t="n">
        <f aca="false">$C$15*(1+$C$11)^(B44-1)</f>
        <v>2883717.18550322</v>
      </c>
      <c r="H44" s="43" t="str">
        <f aca="false">IF(F44&gt;=G44,"Yes","No")</f>
        <v>No</v>
      </c>
    </row>
    <row r="45" customFormat="false" ht="15" hidden="false" customHeight="false" outlineLevel="0" collapsed="false">
      <c r="B45" s="34" t="n">
        <v>26</v>
      </c>
      <c r="C45" s="26" t="n">
        <f aca="false">F44</f>
        <v>119670.819704493</v>
      </c>
      <c r="D45" s="26" t="n">
        <f aca="false">$C$9*(1+$C$13)^(B45-1)</f>
        <v>0.07</v>
      </c>
      <c r="E45" s="26" t="n">
        <f aca="false">(C45+D45/2)*$C$10</f>
        <v>3350.78393172581</v>
      </c>
      <c r="F45" s="18" t="n">
        <f aca="false">C45+D45+E45</f>
        <v>123021.673636219</v>
      </c>
      <c r="G45" s="26" t="n">
        <f aca="false">$C$15*(1+$C$11)^(B45-1)</f>
        <v>2999065.87292335</v>
      </c>
      <c r="H45" s="43" t="str">
        <f aca="false">IF(F45&gt;=G45,"Yes","No")</f>
        <v>No</v>
      </c>
    </row>
    <row r="46" customFormat="false" ht="15" hidden="false" customHeight="false" outlineLevel="0" collapsed="false">
      <c r="B46" s="34" t="n">
        <v>27</v>
      </c>
      <c r="C46" s="26" t="n">
        <f aca="false">F45</f>
        <v>123021.673636219</v>
      </c>
      <c r="D46" s="26" t="n">
        <f aca="false">$C$9*(1+$C$13)^(B46-1)</f>
        <v>0.07</v>
      </c>
      <c r="E46" s="26" t="n">
        <f aca="false">(C46+D46/2)*$C$10</f>
        <v>3444.60784181414</v>
      </c>
      <c r="F46" s="18" t="n">
        <f aca="false">C46+D46+E46</f>
        <v>126466.351478033</v>
      </c>
      <c r="G46" s="26" t="n">
        <f aca="false">$C$15*(1+$C$11)^(B46-1)</f>
        <v>3119028.50784028</v>
      </c>
      <c r="H46" s="43" t="str">
        <f aca="false">IF(F46&gt;=G46,"Yes","No")</f>
        <v>No</v>
      </c>
    </row>
    <row r="47" customFormat="false" ht="15" hidden="false" customHeight="false" outlineLevel="0" collapsed="false">
      <c r="B47" s="34" t="n">
        <v>28</v>
      </c>
      <c r="C47" s="26" t="n">
        <f aca="false">F46</f>
        <v>126466.351478033</v>
      </c>
      <c r="D47" s="26" t="n">
        <f aca="false">$C$9*(1+$C$13)^(B47-1)</f>
        <v>0.07</v>
      </c>
      <c r="E47" s="26" t="n">
        <f aca="false">(C47+D47/2)*$C$10</f>
        <v>3541.05882138493</v>
      </c>
      <c r="F47" s="18" t="n">
        <f aca="false">C47+D47+E47</f>
        <v>130007.480299418</v>
      </c>
      <c r="G47" s="26" t="n">
        <f aca="false">$C$15*(1+$C$11)^(B47-1)</f>
        <v>3243789.6481539</v>
      </c>
      <c r="H47" s="43" t="str">
        <f aca="false">IF(F47&gt;=G47,"Yes","No")</f>
        <v>No</v>
      </c>
    </row>
    <row r="48" customFormat="false" ht="15" hidden="false" customHeight="false" outlineLevel="0" collapsed="false">
      <c r="B48" s="34" t="n">
        <v>29</v>
      </c>
      <c r="C48" s="26" t="n">
        <f aca="false">F47</f>
        <v>130007.480299418</v>
      </c>
      <c r="D48" s="26" t="n">
        <f aca="false">$C$9*(1+$C$13)^(B48-1)</f>
        <v>0.07</v>
      </c>
      <c r="E48" s="26" t="n">
        <f aca="false">(C48+D48/2)*$C$10</f>
        <v>3640.21042838371</v>
      </c>
      <c r="F48" s="18" t="n">
        <f aca="false">C48+D48+E48</f>
        <v>133647.760727802</v>
      </c>
      <c r="G48" s="26" t="n">
        <f aca="false">$C$15*(1+$C$11)^(B48-1)</f>
        <v>3373541.23408005</v>
      </c>
      <c r="H48" s="43" t="str">
        <f aca="false">IF(F48&gt;=G48,"Yes","No")</f>
        <v>No</v>
      </c>
    </row>
    <row r="49" customFormat="false" ht="15" hidden="false" customHeight="false" outlineLevel="0" collapsed="false">
      <c r="B49" s="34" t="n">
        <v>30</v>
      </c>
      <c r="C49" s="26" t="n">
        <f aca="false">F48</f>
        <v>133647.760727802</v>
      </c>
      <c r="D49" s="26" t="n">
        <f aca="false">$C$9*(1+$C$13)^(B49-1)</f>
        <v>0.07</v>
      </c>
      <c r="E49" s="26" t="n">
        <f aca="false">(C49+D49/2)*$C$10</f>
        <v>3742.13828037845</v>
      </c>
      <c r="F49" s="18" t="n">
        <f aca="false">C49+D49+E49</f>
        <v>137389.96900818</v>
      </c>
      <c r="G49" s="26" t="n">
        <f aca="false">$C$15*(1+$C$11)^(B49-1)</f>
        <v>3508482.88344325</v>
      </c>
      <c r="H49" s="43" t="str">
        <f aca="false">IF(F49&gt;=G49,"Yes","No")</f>
        <v>No</v>
      </c>
    </row>
    <row r="51" customFormat="false" ht="15" hidden="false" customHeight="false" outlineLevel="0" collapsed="false">
      <c r="B51" s="44" t="s">
        <v>293</v>
      </c>
      <c r="C51" s="59" t="str">
        <f aca="false">IFERROR(MATCH("Yes",H20:H49,0),"Beyond 30-yr horizon — extend schedule")</f>
        <v>Beyond 30-yr horizon — extend schedule</v>
      </c>
    </row>
    <row r="53" customFormat="false" ht="49.5" hidden="false" customHeight="true" outlineLevel="0" collapsed="false">
      <c r="B53" s="37" t="s">
        <v>294</v>
      </c>
      <c r="C53" s="37"/>
      <c r="D53" s="37"/>
      <c r="E53" s="37"/>
      <c r="F53" s="37"/>
      <c r="G53" s="37"/>
      <c r="H53" s="37"/>
      <c r="I53" s="37"/>
    </row>
  </sheetData>
  <mergeCells count="6">
    <mergeCell ref="B2:I2"/>
    <mergeCell ref="B3:I3"/>
    <mergeCell ref="B5:I5"/>
    <mergeCell ref="B14:I14"/>
    <mergeCell ref="B18:I18"/>
    <mergeCell ref="B53:I53"/>
  </mergeCells>
  <conditionalFormatting sqref="H20:H49">
    <cfRule type="cellIs" priority="2"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P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15" min="3" style="0" width="11"/>
    <col collapsed="false" customWidth="true" hidden="false" outlineLevel="0" max="16" min="16" style="0" width="13"/>
  </cols>
  <sheetData>
    <row r="2" customFormat="false" ht="27.75" hidden="false" customHeight="true" outlineLevel="0" collapsed="false">
      <c r="B2" s="11" t="s">
        <v>295</v>
      </c>
      <c r="C2" s="11"/>
      <c r="D2" s="11"/>
      <c r="E2" s="11"/>
      <c r="F2" s="11"/>
      <c r="G2" s="11"/>
      <c r="H2" s="11"/>
      <c r="I2" s="11"/>
      <c r="J2" s="11"/>
      <c r="K2" s="11"/>
      <c r="L2" s="11"/>
      <c r="M2" s="11"/>
      <c r="N2" s="11"/>
      <c r="O2" s="11"/>
      <c r="P2" s="11"/>
    </row>
    <row r="3" customFormat="false" ht="15" hidden="false" customHeight="false" outlineLevel="0" collapsed="false">
      <c r="B3" s="12" t="s">
        <v>22</v>
      </c>
      <c r="C3" s="12"/>
      <c r="D3" s="12"/>
      <c r="E3" s="12"/>
      <c r="F3" s="12"/>
      <c r="G3" s="12"/>
      <c r="H3" s="12"/>
      <c r="I3" s="12"/>
      <c r="J3" s="12"/>
      <c r="K3" s="12"/>
      <c r="L3" s="12"/>
      <c r="M3" s="12"/>
      <c r="N3" s="12"/>
      <c r="O3" s="12"/>
      <c r="P3" s="12"/>
    </row>
    <row r="5" customFormat="false" ht="19.5" hidden="false" customHeight="true" outlineLevel="0" collapsed="false">
      <c r="B5" s="13" t="s">
        <v>296</v>
      </c>
      <c r="C5" s="13"/>
      <c r="D5" s="13"/>
      <c r="E5" s="13"/>
      <c r="F5" s="13"/>
      <c r="G5" s="13"/>
      <c r="H5" s="13"/>
      <c r="I5" s="13"/>
      <c r="J5" s="13"/>
      <c r="K5" s="13"/>
      <c r="L5" s="13"/>
      <c r="M5" s="13"/>
      <c r="N5" s="13"/>
      <c r="O5" s="13"/>
      <c r="P5" s="13"/>
    </row>
    <row r="6" customFormat="false" ht="15" hidden="false" customHeight="false" outlineLevel="0" collapsed="false">
      <c r="B6" s="22" t="s">
        <v>297</v>
      </c>
      <c r="C6" s="15" t="s">
        <v>298</v>
      </c>
      <c r="D6" s="15" t="s">
        <v>299</v>
      </c>
      <c r="E6" s="15" t="s">
        <v>300</v>
      </c>
      <c r="F6" s="15" t="s">
        <v>301</v>
      </c>
      <c r="G6" s="15" t="s">
        <v>302</v>
      </c>
      <c r="H6" s="15" t="s">
        <v>303</v>
      </c>
      <c r="I6" s="15" t="s">
        <v>304</v>
      </c>
      <c r="J6" s="15" t="s">
        <v>305</v>
      </c>
      <c r="K6" s="15" t="s">
        <v>306</v>
      </c>
      <c r="L6" s="15" t="s">
        <v>307</v>
      </c>
      <c r="M6" s="15" t="s">
        <v>308</v>
      </c>
      <c r="N6" s="15" t="s">
        <v>309</v>
      </c>
      <c r="O6" s="15" t="s">
        <v>310</v>
      </c>
      <c r="P6" s="15" t="s">
        <v>311</v>
      </c>
    </row>
    <row r="7" customFormat="false" ht="15" hidden="false" customHeight="false" outlineLevel="0" collapsed="false">
      <c r="B7" s="16" t="s">
        <v>312</v>
      </c>
      <c r="C7" s="17" t="n">
        <v>0</v>
      </c>
      <c r="D7" s="17" t="n">
        <v>0</v>
      </c>
      <c r="E7" s="17" t="n">
        <v>0</v>
      </c>
      <c r="F7" s="17" t="n">
        <v>0</v>
      </c>
      <c r="G7" s="17" t="n">
        <v>0</v>
      </c>
      <c r="H7" s="17" t="n">
        <v>0</v>
      </c>
      <c r="I7" s="17" t="n">
        <v>0</v>
      </c>
      <c r="J7" s="17" t="n">
        <v>0</v>
      </c>
      <c r="K7" s="17" t="n">
        <v>0</v>
      </c>
      <c r="L7" s="17" t="n">
        <v>0</v>
      </c>
      <c r="M7" s="17" t="n">
        <v>0</v>
      </c>
      <c r="N7" s="17" t="n">
        <v>0</v>
      </c>
      <c r="O7" s="17" t="n">
        <v>0</v>
      </c>
      <c r="P7" s="18" t="n">
        <f aca="false">SUM(C7:O7)</f>
        <v>0</v>
      </c>
    </row>
    <row r="8" customFormat="false" ht="15" hidden="false" customHeight="false" outlineLevel="0" collapsed="false">
      <c r="B8" s="16" t="s">
        <v>313</v>
      </c>
      <c r="C8" s="17" t="n">
        <v>0</v>
      </c>
      <c r="D8" s="17" t="n">
        <v>0</v>
      </c>
      <c r="E8" s="17" t="n">
        <v>0</v>
      </c>
      <c r="F8" s="17" t="n">
        <v>0</v>
      </c>
      <c r="G8" s="17" t="n">
        <v>0</v>
      </c>
      <c r="H8" s="17" t="n">
        <v>0</v>
      </c>
      <c r="I8" s="17" t="n">
        <v>0</v>
      </c>
      <c r="J8" s="17" t="n">
        <v>0</v>
      </c>
      <c r="K8" s="17" t="n">
        <v>0</v>
      </c>
      <c r="L8" s="17" t="n">
        <v>0</v>
      </c>
      <c r="M8" s="17" t="n">
        <v>0</v>
      </c>
      <c r="N8" s="17" t="n">
        <v>0</v>
      </c>
      <c r="O8" s="17" t="n">
        <v>0</v>
      </c>
      <c r="P8" s="18" t="n">
        <f aca="false">SUM(C8:O8)</f>
        <v>0</v>
      </c>
    </row>
    <row r="9" customFormat="false" ht="15" hidden="false" customHeight="false" outlineLevel="0" collapsed="false">
      <c r="B9" s="16" t="s">
        <v>314</v>
      </c>
      <c r="C9" s="17" t="n">
        <v>0</v>
      </c>
      <c r="D9" s="17" t="n">
        <v>0</v>
      </c>
      <c r="E9" s="17" t="n">
        <v>0</v>
      </c>
      <c r="F9" s="17" t="n">
        <v>0</v>
      </c>
      <c r="G9" s="17" t="n">
        <v>0</v>
      </c>
      <c r="H9" s="17" t="n">
        <v>0</v>
      </c>
      <c r="I9" s="17" t="n">
        <v>0</v>
      </c>
      <c r="J9" s="17" t="n">
        <v>0</v>
      </c>
      <c r="K9" s="17" t="n">
        <v>0</v>
      </c>
      <c r="L9" s="17" t="n">
        <v>0</v>
      </c>
      <c r="M9" s="17" t="n">
        <v>0</v>
      </c>
      <c r="N9" s="17" t="n">
        <v>0</v>
      </c>
      <c r="O9" s="17" t="n">
        <v>0</v>
      </c>
      <c r="P9" s="18" t="n">
        <f aca="false">SUM(C9:O9)</f>
        <v>0</v>
      </c>
    </row>
    <row r="10" customFormat="false" ht="15" hidden="false" customHeight="false" outlineLevel="0" collapsed="false">
      <c r="B10" s="16" t="s">
        <v>315</v>
      </c>
      <c r="C10" s="17" t="n">
        <v>0</v>
      </c>
      <c r="D10" s="17" t="n">
        <v>0</v>
      </c>
      <c r="E10" s="17" t="n">
        <v>0</v>
      </c>
      <c r="F10" s="17" t="n">
        <v>0</v>
      </c>
      <c r="G10" s="17" t="n">
        <v>0</v>
      </c>
      <c r="H10" s="17" t="n">
        <v>0</v>
      </c>
      <c r="I10" s="17" t="n">
        <v>0</v>
      </c>
      <c r="J10" s="17" t="n">
        <v>0</v>
      </c>
      <c r="K10" s="17" t="n">
        <v>0</v>
      </c>
      <c r="L10" s="17" t="n">
        <v>0</v>
      </c>
      <c r="M10" s="17" t="n">
        <v>0</v>
      </c>
      <c r="N10" s="17" t="n">
        <v>0</v>
      </c>
      <c r="O10" s="17" t="n">
        <v>0</v>
      </c>
      <c r="P10" s="18" t="n">
        <f aca="false">SUM(C10:O10)</f>
        <v>0</v>
      </c>
    </row>
    <row r="11" customFormat="false" ht="15" hidden="false" customHeight="false" outlineLevel="0" collapsed="false">
      <c r="B11" s="60" t="s">
        <v>316</v>
      </c>
      <c r="C11" s="20" t="n">
        <f aca="false">SUM(C7:C10)</f>
        <v>0</v>
      </c>
      <c r="D11" s="20" t="n">
        <f aca="false">SUM(D7:D10)</f>
        <v>0</v>
      </c>
      <c r="E11" s="20" t="n">
        <f aca="false">SUM(E7:E10)</f>
        <v>0</v>
      </c>
      <c r="F11" s="20" t="n">
        <f aca="false">SUM(F7:F10)</f>
        <v>0</v>
      </c>
      <c r="G11" s="20" t="n">
        <f aca="false">SUM(G7:G10)</f>
        <v>0</v>
      </c>
      <c r="H11" s="20" t="n">
        <f aca="false">SUM(H7:H10)</f>
        <v>0</v>
      </c>
      <c r="I11" s="20" t="n">
        <f aca="false">SUM(I7:I10)</f>
        <v>0</v>
      </c>
      <c r="J11" s="20" t="n">
        <f aca="false">SUM(J7:J10)</f>
        <v>0</v>
      </c>
      <c r="K11" s="20" t="n">
        <f aca="false">SUM(K7:K10)</f>
        <v>0</v>
      </c>
      <c r="L11" s="20" t="n">
        <f aca="false">SUM(L7:L10)</f>
        <v>0</v>
      </c>
      <c r="M11" s="20" t="n">
        <f aca="false">SUM(M7:M10)</f>
        <v>0</v>
      </c>
      <c r="N11" s="20" t="n">
        <f aca="false">SUM(N7:N10)</f>
        <v>0</v>
      </c>
      <c r="O11" s="20" t="n">
        <f aca="false">SUM(O7:O10)</f>
        <v>0</v>
      </c>
      <c r="P11" s="20" t="n">
        <f aca="false">SUM(P7:P10)</f>
        <v>0</v>
      </c>
    </row>
    <row r="13" customFormat="false" ht="19.5" hidden="false" customHeight="true" outlineLevel="0" collapsed="false">
      <c r="B13" s="21" t="s">
        <v>317</v>
      </c>
      <c r="C13" s="21"/>
      <c r="D13" s="21"/>
      <c r="E13" s="21"/>
      <c r="F13" s="21"/>
      <c r="G13" s="21"/>
      <c r="H13" s="21"/>
      <c r="I13" s="21"/>
      <c r="J13" s="21"/>
      <c r="K13" s="21"/>
      <c r="L13" s="21"/>
      <c r="M13" s="21"/>
      <c r="N13" s="21"/>
      <c r="O13" s="21"/>
      <c r="P13" s="21"/>
    </row>
    <row r="14" customFormat="false" ht="15" hidden="false" customHeight="false" outlineLevel="0" collapsed="false">
      <c r="B14" s="22" t="s">
        <v>297</v>
      </c>
      <c r="C14" s="15" t="s">
        <v>298</v>
      </c>
      <c r="D14" s="15" t="s">
        <v>299</v>
      </c>
      <c r="E14" s="15" t="s">
        <v>300</v>
      </c>
      <c r="F14" s="15" t="s">
        <v>301</v>
      </c>
      <c r="G14" s="15" t="s">
        <v>302</v>
      </c>
      <c r="H14" s="15" t="s">
        <v>303</v>
      </c>
      <c r="I14" s="15" t="s">
        <v>304</v>
      </c>
      <c r="J14" s="15" t="s">
        <v>305</v>
      </c>
      <c r="K14" s="15" t="s">
        <v>306</v>
      </c>
      <c r="L14" s="15" t="s">
        <v>307</v>
      </c>
      <c r="M14" s="15" t="s">
        <v>308</v>
      </c>
      <c r="N14" s="15" t="s">
        <v>309</v>
      </c>
      <c r="O14" s="15" t="s">
        <v>310</v>
      </c>
      <c r="P14" s="15" t="s">
        <v>311</v>
      </c>
    </row>
    <row r="15" customFormat="false" ht="15" hidden="false" customHeight="false" outlineLevel="0" collapsed="false">
      <c r="B15" s="16" t="s">
        <v>318</v>
      </c>
      <c r="C15" s="17" t="n">
        <v>0</v>
      </c>
      <c r="D15" s="17" t="n">
        <v>0</v>
      </c>
      <c r="E15" s="17" t="n">
        <v>0</v>
      </c>
      <c r="F15" s="17" t="n">
        <v>0</v>
      </c>
      <c r="G15" s="17" t="n">
        <v>0</v>
      </c>
      <c r="H15" s="17" t="n">
        <v>0</v>
      </c>
      <c r="I15" s="17" t="n">
        <v>0</v>
      </c>
      <c r="J15" s="17" t="n">
        <v>0</v>
      </c>
      <c r="K15" s="17" t="n">
        <v>0</v>
      </c>
      <c r="L15" s="17" t="n">
        <v>0</v>
      </c>
      <c r="M15" s="17" t="n">
        <v>0</v>
      </c>
      <c r="N15" s="17" t="n">
        <v>0</v>
      </c>
      <c r="O15" s="17" t="n">
        <v>0</v>
      </c>
      <c r="P15" s="18" t="n">
        <f aca="false">SUM(C15:O15)</f>
        <v>0</v>
      </c>
    </row>
    <row r="16" customFormat="false" ht="15" hidden="false" customHeight="false" outlineLevel="0" collapsed="false">
      <c r="B16" s="16" t="s">
        <v>319</v>
      </c>
      <c r="C16" s="17" t="n">
        <v>0</v>
      </c>
      <c r="D16" s="17" t="n">
        <v>0</v>
      </c>
      <c r="E16" s="17" t="n">
        <v>0</v>
      </c>
      <c r="F16" s="17" t="n">
        <v>0</v>
      </c>
      <c r="G16" s="17" t="n">
        <v>0</v>
      </c>
      <c r="H16" s="17" t="n">
        <v>0</v>
      </c>
      <c r="I16" s="17" t="n">
        <v>0</v>
      </c>
      <c r="J16" s="17" t="n">
        <v>0</v>
      </c>
      <c r="K16" s="17" t="n">
        <v>0</v>
      </c>
      <c r="L16" s="17" t="n">
        <v>0</v>
      </c>
      <c r="M16" s="17" t="n">
        <v>0</v>
      </c>
      <c r="N16" s="17" t="n">
        <v>0</v>
      </c>
      <c r="O16" s="17" t="n">
        <v>0</v>
      </c>
      <c r="P16" s="18" t="n">
        <f aca="false">SUM(C16:O16)</f>
        <v>0</v>
      </c>
    </row>
    <row r="17" customFormat="false" ht="15" hidden="false" customHeight="false" outlineLevel="0" collapsed="false">
      <c r="B17" s="16" t="s">
        <v>320</v>
      </c>
      <c r="C17" s="17" t="n">
        <v>0</v>
      </c>
      <c r="D17" s="17" t="n">
        <v>0</v>
      </c>
      <c r="E17" s="17" t="n">
        <v>0</v>
      </c>
      <c r="F17" s="17" t="n">
        <v>0</v>
      </c>
      <c r="G17" s="17" t="n">
        <v>0</v>
      </c>
      <c r="H17" s="17" t="n">
        <v>0</v>
      </c>
      <c r="I17" s="17" t="n">
        <v>0</v>
      </c>
      <c r="J17" s="17" t="n">
        <v>0</v>
      </c>
      <c r="K17" s="17" t="n">
        <v>0</v>
      </c>
      <c r="L17" s="17" t="n">
        <v>0</v>
      </c>
      <c r="M17" s="17" t="n">
        <v>0</v>
      </c>
      <c r="N17" s="17" t="n">
        <v>0</v>
      </c>
      <c r="O17" s="17" t="n">
        <v>0</v>
      </c>
      <c r="P17" s="18" t="n">
        <f aca="false">SUM(C17:O17)</f>
        <v>0</v>
      </c>
    </row>
    <row r="18" customFormat="false" ht="15" hidden="false" customHeight="false" outlineLevel="0" collapsed="false">
      <c r="B18" s="16" t="s">
        <v>321</v>
      </c>
      <c r="C18" s="17" t="n">
        <v>0</v>
      </c>
      <c r="D18" s="17" t="n">
        <v>0</v>
      </c>
      <c r="E18" s="17" t="n">
        <v>0</v>
      </c>
      <c r="F18" s="17" t="n">
        <v>0</v>
      </c>
      <c r="G18" s="17" t="n">
        <v>0</v>
      </c>
      <c r="H18" s="17" t="n">
        <v>0</v>
      </c>
      <c r="I18" s="17" t="n">
        <v>0</v>
      </c>
      <c r="J18" s="17" t="n">
        <v>0</v>
      </c>
      <c r="K18" s="17" t="n">
        <v>0</v>
      </c>
      <c r="L18" s="17" t="n">
        <v>0</v>
      </c>
      <c r="M18" s="17" t="n">
        <v>0</v>
      </c>
      <c r="N18" s="17" t="n">
        <v>0</v>
      </c>
      <c r="O18" s="17" t="n">
        <v>0</v>
      </c>
      <c r="P18" s="18" t="n">
        <f aca="false">SUM(C18:O18)</f>
        <v>0</v>
      </c>
    </row>
    <row r="19" customFormat="false" ht="15" hidden="false" customHeight="false" outlineLevel="0" collapsed="false">
      <c r="B19" s="16" t="s">
        <v>322</v>
      </c>
      <c r="C19" s="17" t="n">
        <v>0</v>
      </c>
      <c r="D19" s="17" t="n">
        <v>0</v>
      </c>
      <c r="E19" s="17" t="n">
        <v>0</v>
      </c>
      <c r="F19" s="17" t="n">
        <v>0</v>
      </c>
      <c r="G19" s="17" t="n">
        <v>0</v>
      </c>
      <c r="H19" s="17" t="n">
        <v>0</v>
      </c>
      <c r="I19" s="17" t="n">
        <v>0</v>
      </c>
      <c r="J19" s="17" t="n">
        <v>0</v>
      </c>
      <c r="K19" s="17" t="n">
        <v>0</v>
      </c>
      <c r="L19" s="17" t="n">
        <v>0</v>
      </c>
      <c r="M19" s="17" t="n">
        <v>0</v>
      </c>
      <c r="N19" s="17" t="n">
        <v>0</v>
      </c>
      <c r="O19" s="17" t="n">
        <v>0</v>
      </c>
      <c r="P19" s="18" t="n">
        <f aca="false">SUM(C19:O19)</f>
        <v>0</v>
      </c>
    </row>
    <row r="20" customFormat="false" ht="15" hidden="false" customHeight="false" outlineLevel="0" collapsed="false">
      <c r="B20" s="16" t="s">
        <v>323</v>
      </c>
      <c r="C20" s="17" t="n">
        <v>0</v>
      </c>
      <c r="D20" s="17" t="n">
        <v>0</v>
      </c>
      <c r="E20" s="17" t="n">
        <v>0</v>
      </c>
      <c r="F20" s="17" t="n">
        <v>0</v>
      </c>
      <c r="G20" s="17" t="n">
        <v>0</v>
      </c>
      <c r="H20" s="17" t="n">
        <v>0</v>
      </c>
      <c r="I20" s="17" t="n">
        <v>0</v>
      </c>
      <c r="J20" s="17" t="n">
        <v>0</v>
      </c>
      <c r="K20" s="17" t="n">
        <v>0</v>
      </c>
      <c r="L20" s="17" t="n">
        <v>0</v>
      </c>
      <c r="M20" s="17" t="n">
        <v>0</v>
      </c>
      <c r="N20" s="17" t="n">
        <v>0</v>
      </c>
      <c r="O20" s="17" t="n">
        <v>0</v>
      </c>
      <c r="P20" s="18" t="n">
        <f aca="false">SUM(C20:O20)</f>
        <v>0</v>
      </c>
    </row>
    <row r="21" customFormat="false" ht="15" hidden="false" customHeight="false" outlineLevel="0" collapsed="false">
      <c r="B21" s="16" t="s">
        <v>324</v>
      </c>
      <c r="C21" s="17" t="n">
        <v>0</v>
      </c>
      <c r="D21" s="17" t="n">
        <v>0</v>
      </c>
      <c r="E21" s="17" t="n">
        <v>0</v>
      </c>
      <c r="F21" s="17" t="n">
        <v>0</v>
      </c>
      <c r="G21" s="17" t="n">
        <v>0</v>
      </c>
      <c r="H21" s="17" t="n">
        <v>0</v>
      </c>
      <c r="I21" s="17" t="n">
        <v>0</v>
      </c>
      <c r="J21" s="17" t="n">
        <v>0</v>
      </c>
      <c r="K21" s="17" t="n">
        <v>0</v>
      </c>
      <c r="L21" s="17" t="n">
        <v>0</v>
      </c>
      <c r="M21" s="17" t="n">
        <v>0</v>
      </c>
      <c r="N21" s="17" t="n">
        <v>0</v>
      </c>
      <c r="O21" s="17" t="n">
        <v>0</v>
      </c>
      <c r="P21" s="18" t="n">
        <f aca="false">SUM(C21:O21)</f>
        <v>0</v>
      </c>
    </row>
    <row r="22" customFormat="false" ht="15" hidden="false" customHeight="false" outlineLevel="0" collapsed="false">
      <c r="B22" s="60" t="s">
        <v>325</v>
      </c>
      <c r="C22" s="20" t="n">
        <f aca="false">SUM(C15:C21)</f>
        <v>0</v>
      </c>
      <c r="D22" s="20" t="n">
        <f aca="false">SUM(D15:D21)</f>
        <v>0</v>
      </c>
      <c r="E22" s="20" t="n">
        <f aca="false">SUM(E15:E21)</f>
        <v>0</v>
      </c>
      <c r="F22" s="20" t="n">
        <f aca="false">SUM(F15:F21)</f>
        <v>0</v>
      </c>
      <c r="G22" s="20" t="n">
        <f aca="false">SUM(G15:G21)</f>
        <v>0</v>
      </c>
      <c r="H22" s="20" t="n">
        <f aca="false">SUM(H15:H21)</f>
        <v>0</v>
      </c>
      <c r="I22" s="20" t="n">
        <f aca="false">SUM(I15:I21)</f>
        <v>0</v>
      </c>
      <c r="J22" s="20" t="n">
        <f aca="false">SUM(J15:J21)</f>
        <v>0</v>
      </c>
      <c r="K22" s="20" t="n">
        <f aca="false">SUM(K15:K21)</f>
        <v>0</v>
      </c>
      <c r="L22" s="20" t="n">
        <f aca="false">SUM(L15:L21)</f>
        <v>0</v>
      </c>
      <c r="M22" s="20" t="n">
        <f aca="false">SUM(M15:M21)</f>
        <v>0</v>
      </c>
      <c r="N22" s="20" t="n">
        <f aca="false">SUM(N15:N21)</f>
        <v>0</v>
      </c>
      <c r="O22" s="20" t="n">
        <f aca="false">SUM(O15:O21)</f>
        <v>0</v>
      </c>
      <c r="P22" s="20" t="n">
        <f aca="false">SUM(P15:P21)</f>
        <v>0</v>
      </c>
    </row>
    <row r="24" customFormat="false" ht="19.5" hidden="false" customHeight="true" outlineLevel="0" collapsed="false">
      <c r="B24" s="8" t="s">
        <v>326</v>
      </c>
      <c r="C24" s="8"/>
      <c r="D24" s="8"/>
      <c r="E24" s="8"/>
      <c r="F24" s="8"/>
      <c r="G24" s="8"/>
      <c r="H24" s="8"/>
      <c r="I24" s="8"/>
      <c r="J24" s="8"/>
      <c r="K24" s="8"/>
      <c r="L24" s="8"/>
      <c r="M24" s="8"/>
      <c r="N24" s="8"/>
      <c r="O24" s="8"/>
      <c r="P24" s="8"/>
    </row>
    <row r="25" customFormat="false" ht="15" hidden="false" customHeight="false" outlineLevel="0" collapsed="false">
      <c r="B25" s="40" t="s">
        <v>327</v>
      </c>
      <c r="C25" s="17" t="n">
        <v>25000</v>
      </c>
      <c r="D25" s="26" t="n">
        <f aca="false">C27</f>
        <v>25000</v>
      </c>
      <c r="E25" s="26" t="n">
        <f aca="false">D27</f>
        <v>25000</v>
      </c>
      <c r="F25" s="26" t="n">
        <f aca="false">E27</f>
        <v>25000</v>
      </c>
      <c r="G25" s="26" t="n">
        <f aca="false">F27</f>
        <v>25000</v>
      </c>
      <c r="H25" s="26" t="n">
        <f aca="false">G27</f>
        <v>25000</v>
      </c>
      <c r="I25" s="26" t="n">
        <f aca="false">H27</f>
        <v>25000</v>
      </c>
      <c r="J25" s="26" t="n">
        <f aca="false">I27</f>
        <v>25000</v>
      </c>
      <c r="K25" s="26" t="n">
        <f aca="false">J27</f>
        <v>25000</v>
      </c>
      <c r="L25" s="26" t="n">
        <f aca="false">K27</f>
        <v>25000</v>
      </c>
      <c r="M25" s="26" t="n">
        <f aca="false">L27</f>
        <v>25000</v>
      </c>
      <c r="N25" s="26" t="n">
        <f aca="false">M27</f>
        <v>25000</v>
      </c>
      <c r="O25" s="26" t="n">
        <f aca="false">N27</f>
        <v>25000</v>
      </c>
    </row>
    <row r="26" customFormat="false" ht="15" hidden="false" customHeight="false" outlineLevel="0" collapsed="false">
      <c r="B26" s="40" t="s">
        <v>328</v>
      </c>
      <c r="C26" s="18" t="n">
        <f aca="false">C11-C22</f>
        <v>0</v>
      </c>
      <c r="D26" s="18" t="n">
        <f aca="false">D11-D22</f>
        <v>0</v>
      </c>
      <c r="E26" s="18" t="n">
        <f aca="false">E11-E22</f>
        <v>0</v>
      </c>
      <c r="F26" s="18" t="n">
        <f aca="false">F11-F22</f>
        <v>0</v>
      </c>
      <c r="G26" s="18" t="n">
        <f aca="false">G11-G22</f>
        <v>0</v>
      </c>
      <c r="H26" s="18" t="n">
        <f aca="false">H11-H22</f>
        <v>0</v>
      </c>
      <c r="I26" s="18" t="n">
        <f aca="false">I11-I22</f>
        <v>0</v>
      </c>
      <c r="J26" s="18" t="n">
        <f aca="false">J11-J22</f>
        <v>0</v>
      </c>
      <c r="K26" s="18" t="n">
        <f aca="false">K11-K22</f>
        <v>0</v>
      </c>
      <c r="L26" s="18" t="n">
        <f aca="false">L11-L22</f>
        <v>0</v>
      </c>
      <c r="M26" s="18" t="n">
        <f aca="false">M11-M22</f>
        <v>0</v>
      </c>
      <c r="N26" s="18" t="n">
        <f aca="false">N11-N22</f>
        <v>0</v>
      </c>
      <c r="O26" s="18" t="n">
        <f aca="false">O11-O22</f>
        <v>0</v>
      </c>
      <c r="P26" s="18" t="n">
        <f aca="false">SUM(C26:O26)</f>
        <v>0</v>
      </c>
    </row>
    <row r="27" customFormat="false" ht="15" hidden="false" customHeight="false" outlineLevel="0" collapsed="false">
      <c r="B27" s="44" t="s">
        <v>329</v>
      </c>
      <c r="C27" s="29" t="n">
        <f aca="false">C25+C26</f>
        <v>25000</v>
      </c>
      <c r="D27" s="29" t="n">
        <f aca="false">D25+D26</f>
        <v>25000</v>
      </c>
      <c r="E27" s="29" t="n">
        <f aca="false">E25+E26</f>
        <v>25000</v>
      </c>
      <c r="F27" s="29" t="n">
        <f aca="false">F25+F26</f>
        <v>25000</v>
      </c>
      <c r="G27" s="29" t="n">
        <f aca="false">G25+G26</f>
        <v>25000</v>
      </c>
      <c r="H27" s="29" t="n">
        <f aca="false">H25+H26</f>
        <v>25000</v>
      </c>
      <c r="I27" s="29" t="n">
        <f aca="false">I25+I26</f>
        <v>25000</v>
      </c>
      <c r="J27" s="29" t="n">
        <f aca="false">J25+J26</f>
        <v>25000</v>
      </c>
      <c r="K27" s="29" t="n">
        <f aca="false">K25+K26</f>
        <v>25000</v>
      </c>
      <c r="L27" s="29" t="n">
        <f aca="false">L25+L26</f>
        <v>25000</v>
      </c>
      <c r="M27" s="29" t="n">
        <f aca="false">M25+M26</f>
        <v>25000</v>
      </c>
      <c r="N27" s="29" t="n">
        <f aca="false">N25+N26</f>
        <v>25000</v>
      </c>
      <c r="O27" s="29" t="n">
        <f aca="false">O25+O26</f>
        <v>25000</v>
      </c>
      <c r="P27" s="45"/>
    </row>
  </sheetData>
  <mergeCells count="5">
    <mergeCell ref="B2:P2"/>
    <mergeCell ref="B3:P3"/>
    <mergeCell ref="B5:P5"/>
    <mergeCell ref="B13:P13"/>
    <mergeCell ref="B24:P24"/>
  </mergeCells>
  <conditionalFormatting sqref="C27:O27">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8" min="3" style="0" width="16"/>
  </cols>
  <sheetData>
    <row r="2" customFormat="false" ht="27.75" hidden="false" customHeight="true" outlineLevel="0" collapsed="false">
      <c r="B2" s="11" t="s">
        <v>330</v>
      </c>
      <c r="C2" s="11"/>
      <c r="D2" s="11"/>
      <c r="E2" s="11"/>
      <c r="F2" s="11"/>
      <c r="G2" s="11"/>
      <c r="H2" s="11"/>
    </row>
    <row r="3" customFormat="false" ht="15" hidden="false" customHeight="false" outlineLevel="0" collapsed="false">
      <c r="B3" s="12" t="s">
        <v>331</v>
      </c>
      <c r="C3" s="12"/>
      <c r="D3" s="12"/>
      <c r="E3" s="12"/>
      <c r="F3" s="12"/>
      <c r="G3" s="12"/>
      <c r="H3" s="12"/>
    </row>
    <row r="5" customFormat="false" ht="19.5" hidden="false" customHeight="true" outlineLevel="0" collapsed="false">
      <c r="B5" s="13" t="s">
        <v>332</v>
      </c>
      <c r="C5" s="13"/>
      <c r="D5" s="13"/>
      <c r="E5" s="13"/>
      <c r="F5" s="13"/>
      <c r="G5" s="13"/>
      <c r="H5" s="13"/>
    </row>
    <row r="6" customFormat="false" ht="15" hidden="false" customHeight="false" outlineLevel="0" collapsed="false">
      <c r="B6" s="16" t="s">
        <v>333</v>
      </c>
      <c r="C6" s="17" t="n">
        <v>32000</v>
      </c>
    </row>
    <row r="7" customFormat="false" ht="15" hidden="false" customHeight="false" outlineLevel="0" collapsed="false">
      <c r="B7" s="16" t="s">
        <v>334</v>
      </c>
      <c r="C7" s="17" t="n">
        <v>9500</v>
      </c>
    </row>
    <row r="8" customFormat="false" ht="15" hidden="false" customHeight="false" outlineLevel="0" collapsed="false">
      <c r="B8" s="16" t="s">
        <v>335</v>
      </c>
      <c r="C8" s="17" t="n">
        <v>6200</v>
      </c>
    </row>
    <row r="9" customFormat="false" ht="15" hidden="false" customHeight="false" outlineLevel="0" collapsed="false">
      <c r="B9" s="16" t="s">
        <v>336</v>
      </c>
      <c r="C9" s="17" t="n">
        <v>4000</v>
      </c>
    </row>
    <row r="10" customFormat="false" ht="15" hidden="false" customHeight="false" outlineLevel="0" collapsed="false">
      <c r="B10" s="16" t="s">
        <v>337</v>
      </c>
      <c r="C10" s="39" t="n">
        <v>0.03</v>
      </c>
    </row>
    <row r="12" customFormat="false" ht="19.5" hidden="false" customHeight="true" outlineLevel="0" collapsed="false">
      <c r="B12" s="8" t="s">
        <v>338</v>
      </c>
      <c r="C12" s="8"/>
      <c r="D12" s="8"/>
      <c r="E12" s="8"/>
      <c r="F12" s="8"/>
      <c r="G12" s="8"/>
      <c r="H12" s="8"/>
    </row>
    <row r="13" customFormat="false" ht="15" hidden="false" customHeight="false" outlineLevel="0" collapsed="false">
      <c r="B13" s="40" t="s">
        <v>339</v>
      </c>
      <c r="C13" s="18" t="n">
        <f aca="false">C9+C10-C8</f>
        <v>-2199.97</v>
      </c>
    </row>
    <row r="14" customFormat="false" ht="15" hidden="false" customHeight="false" outlineLevel="0" collapsed="false">
      <c r="B14" s="44" t="s">
        <v>340</v>
      </c>
      <c r="C14" s="61" t="str">
        <f aca="false">IF(C13&lt;=0,"Cash flow positive — no burn",ROUND(C7/C13,1))</f>
        <v>Cash flow positive — no burn</v>
      </c>
    </row>
    <row r="15" customFormat="false" ht="15" hidden="false" customHeight="false" outlineLevel="0" collapsed="false">
      <c r="B15" s="40" t="s">
        <v>341</v>
      </c>
      <c r="C15" s="18" t="n">
        <f aca="false">C9+C10</f>
        <v>4000.03</v>
      </c>
    </row>
    <row r="17" customFormat="false" ht="19.5" hidden="false" customHeight="true" outlineLevel="0" collapsed="false">
      <c r="B17" s="21" t="s">
        <v>342</v>
      </c>
      <c r="C17" s="21"/>
      <c r="D17" s="21"/>
      <c r="E17" s="21"/>
      <c r="F17" s="21"/>
      <c r="G17" s="21"/>
      <c r="H17" s="21"/>
    </row>
    <row r="18" customFormat="false" ht="15" hidden="false" customHeight="false" outlineLevel="0" collapsed="false">
      <c r="B18" s="15" t="s">
        <v>343</v>
      </c>
      <c r="C18" s="15" t="s">
        <v>344</v>
      </c>
      <c r="D18" s="15" t="s">
        <v>345</v>
      </c>
      <c r="E18" s="15" t="s">
        <v>346</v>
      </c>
      <c r="F18" s="15" t="s">
        <v>347</v>
      </c>
      <c r="G18" s="15" t="s">
        <v>348</v>
      </c>
    </row>
    <row r="19" customFormat="false" ht="15" hidden="false" customHeight="false" outlineLevel="0" collapsed="false">
      <c r="B19" s="34" t="n">
        <v>1</v>
      </c>
      <c r="C19" s="26" t="n">
        <f aca="false">$C$7</f>
        <v>9500</v>
      </c>
      <c r="D19" s="26" t="n">
        <f aca="false">$C$8*(1+$C$11)^(B19-1)</f>
        <v>6200</v>
      </c>
      <c r="E19" s="26" t="n">
        <f aca="false">$C$9+$C$10</f>
        <v>4000.03</v>
      </c>
      <c r="F19" s="26" t="n">
        <f aca="false">D19-E19</f>
        <v>2199.97</v>
      </c>
      <c r="G19" s="18" t="n">
        <f aca="false">C19+F19</f>
        <v>11699.97</v>
      </c>
    </row>
    <row r="20" customFormat="false" ht="15" hidden="false" customHeight="false" outlineLevel="0" collapsed="false">
      <c r="B20" s="34" t="n">
        <v>2</v>
      </c>
      <c r="C20" s="26" t="n">
        <f aca="false">F19</f>
        <v>2199.97</v>
      </c>
      <c r="D20" s="26" t="n">
        <f aca="false">$C$8*(1+$C$11)^(B20-1)</f>
        <v>6200</v>
      </c>
      <c r="E20" s="26" t="n">
        <f aca="false">$C$9+$C$10</f>
        <v>4000.03</v>
      </c>
      <c r="F20" s="26" t="n">
        <f aca="false">D20-E20</f>
        <v>2199.97</v>
      </c>
      <c r="G20" s="18" t="n">
        <f aca="false">C20+F20</f>
        <v>4399.94</v>
      </c>
    </row>
    <row r="21" customFormat="false" ht="15" hidden="false" customHeight="false" outlineLevel="0" collapsed="false">
      <c r="B21" s="34" t="n">
        <v>3</v>
      </c>
      <c r="C21" s="26" t="n">
        <f aca="false">F20</f>
        <v>2199.97</v>
      </c>
      <c r="D21" s="26" t="n">
        <f aca="false">$C$8*(1+$C$11)^(B21-1)</f>
        <v>6200</v>
      </c>
      <c r="E21" s="26" t="n">
        <f aca="false">$C$9+$C$10</f>
        <v>4000.03</v>
      </c>
      <c r="F21" s="26" t="n">
        <f aca="false">D21-E21</f>
        <v>2199.97</v>
      </c>
      <c r="G21" s="18" t="n">
        <f aca="false">C21+F21</f>
        <v>4399.94</v>
      </c>
    </row>
    <row r="22" customFormat="false" ht="15" hidden="false" customHeight="false" outlineLevel="0" collapsed="false">
      <c r="B22" s="34" t="n">
        <v>4</v>
      </c>
      <c r="C22" s="26" t="n">
        <f aca="false">F21</f>
        <v>2199.97</v>
      </c>
      <c r="D22" s="26" t="n">
        <f aca="false">$C$8*(1+$C$11)^(B22-1)</f>
        <v>6200</v>
      </c>
      <c r="E22" s="26" t="n">
        <f aca="false">$C$9+$C$10</f>
        <v>4000.03</v>
      </c>
      <c r="F22" s="26" t="n">
        <f aca="false">D22-E22</f>
        <v>2199.97</v>
      </c>
      <c r="G22" s="18" t="n">
        <f aca="false">C22+F22</f>
        <v>4399.94</v>
      </c>
    </row>
    <row r="23" customFormat="false" ht="15" hidden="false" customHeight="false" outlineLevel="0" collapsed="false">
      <c r="B23" s="34" t="n">
        <v>5</v>
      </c>
      <c r="C23" s="26" t="n">
        <f aca="false">F22</f>
        <v>2199.97</v>
      </c>
      <c r="D23" s="26" t="n">
        <f aca="false">$C$8*(1+$C$11)^(B23-1)</f>
        <v>6200</v>
      </c>
      <c r="E23" s="26" t="n">
        <f aca="false">$C$9+$C$10</f>
        <v>4000.03</v>
      </c>
      <c r="F23" s="26" t="n">
        <f aca="false">D23-E23</f>
        <v>2199.97</v>
      </c>
      <c r="G23" s="18" t="n">
        <f aca="false">C23+F23</f>
        <v>4399.94</v>
      </c>
    </row>
    <row r="24" customFormat="false" ht="15" hidden="false" customHeight="false" outlineLevel="0" collapsed="false">
      <c r="B24" s="34" t="n">
        <v>6</v>
      </c>
      <c r="C24" s="26" t="n">
        <f aca="false">F23</f>
        <v>2199.97</v>
      </c>
      <c r="D24" s="26" t="n">
        <f aca="false">$C$8*(1+$C$11)^(B24-1)</f>
        <v>6200</v>
      </c>
      <c r="E24" s="26" t="n">
        <f aca="false">$C$9+$C$10</f>
        <v>4000.03</v>
      </c>
      <c r="F24" s="26" t="n">
        <f aca="false">D24-E24</f>
        <v>2199.97</v>
      </c>
      <c r="G24" s="18" t="n">
        <f aca="false">C24+F24</f>
        <v>4399.94</v>
      </c>
    </row>
    <row r="25" customFormat="false" ht="15" hidden="false" customHeight="false" outlineLevel="0" collapsed="false">
      <c r="B25" s="34" t="n">
        <v>7</v>
      </c>
      <c r="C25" s="26" t="n">
        <f aca="false">F24</f>
        <v>2199.97</v>
      </c>
      <c r="D25" s="26" t="n">
        <f aca="false">$C$8*(1+$C$11)^(B25-1)</f>
        <v>6200</v>
      </c>
      <c r="E25" s="26" t="n">
        <f aca="false">$C$9+$C$10</f>
        <v>4000.03</v>
      </c>
      <c r="F25" s="26" t="n">
        <f aca="false">D25-E25</f>
        <v>2199.97</v>
      </c>
      <c r="G25" s="18" t="n">
        <f aca="false">C25+F25</f>
        <v>4399.94</v>
      </c>
    </row>
    <row r="26" customFormat="false" ht="15" hidden="false" customHeight="false" outlineLevel="0" collapsed="false">
      <c r="B26" s="34" t="n">
        <v>8</v>
      </c>
      <c r="C26" s="26" t="n">
        <f aca="false">F25</f>
        <v>2199.97</v>
      </c>
      <c r="D26" s="26" t="n">
        <f aca="false">$C$8*(1+$C$11)^(B26-1)</f>
        <v>6200</v>
      </c>
      <c r="E26" s="26" t="n">
        <f aca="false">$C$9+$C$10</f>
        <v>4000.03</v>
      </c>
      <c r="F26" s="26" t="n">
        <f aca="false">D26-E26</f>
        <v>2199.97</v>
      </c>
      <c r="G26" s="18" t="n">
        <f aca="false">C26+F26</f>
        <v>4399.94</v>
      </c>
    </row>
    <row r="27" customFormat="false" ht="15" hidden="false" customHeight="false" outlineLevel="0" collapsed="false">
      <c r="B27" s="34" t="n">
        <v>9</v>
      </c>
      <c r="C27" s="26" t="n">
        <f aca="false">F26</f>
        <v>2199.97</v>
      </c>
      <c r="D27" s="26" t="n">
        <f aca="false">$C$8*(1+$C$11)^(B27-1)</f>
        <v>6200</v>
      </c>
      <c r="E27" s="26" t="n">
        <f aca="false">$C$9+$C$10</f>
        <v>4000.03</v>
      </c>
      <c r="F27" s="26" t="n">
        <f aca="false">D27-E27</f>
        <v>2199.97</v>
      </c>
      <c r="G27" s="18" t="n">
        <f aca="false">C27+F27</f>
        <v>4399.94</v>
      </c>
    </row>
    <row r="28" customFormat="false" ht="15" hidden="false" customHeight="false" outlineLevel="0" collapsed="false">
      <c r="B28" s="34" t="n">
        <v>10</v>
      </c>
      <c r="C28" s="26" t="n">
        <f aca="false">F27</f>
        <v>2199.97</v>
      </c>
      <c r="D28" s="26" t="n">
        <f aca="false">$C$8*(1+$C$11)^(B28-1)</f>
        <v>6200</v>
      </c>
      <c r="E28" s="26" t="n">
        <f aca="false">$C$9+$C$10</f>
        <v>4000.03</v>
      </c>
      <c r="F28" s="26" t="n">
        <f aca="false">D28-E28</f>
        <v>2199.97</v>
      </c>
      <c r="G28" s="18" t="n">
        <f aca="false">C28+F28</f>
        <v>4399.94</v>
      </c>
    </row>
    <row r="29" customFormat="false" ht="15" hidden="false" customHeight="false" outlineLevel="0" collapsed="false">
      <c r="B29" s="34" t="n">
        <v>11</v>
      </c>
      <c r="C29" s="26" t="n">
        <f aca="false">F28</f>
        <v>2199.97</v>
      </c>
      <c r="D29" s="26" t="n">
        <f aca="false">$C$8*(1+$C$11)^(B29-1)</f>
        <v>6200</v>
      </c>
      <c r="E29" s="26" t="n">
        <f aca="false">$C$9+$C$10</f>
        <v>4000.03</v>
      </c>
      <c r="F29" s="26" t="n">
        <f aca="false">D29-E29</f>
        <v>2199.97</v>
      </c>
      <c r="G29" s="18" t="n">
        <f aca="false">C29+F29</f>
        <v>4399.94</v>
      </c>
    </row>
    <row r="30" customFormat="false" ht="15" hidden="false" customHeight="false" outlineLevel="0" collapsed="false">
      <c r="B30" s="34" t="n">
        <v>12</v>
      </c>
      <c r="C30" s="26" t="n">
        <f aca="false">F29</f>
        <v>2199.97</v>
      </c>
      <c r="D30" s="26" t="n">
        <f aca="false">$C$8*(1+$C$11)^(B30-1)</f>
        <v>6200</v>
      </c>
      <c r="E30" s="26" t="n">
        <f aca="false">$C$9+$C$10</f>
        <v>4000.03</v>
      </c>
      <c r="F30" s="26" t="n">
        <f aca="false">D30-E30</f>
        <v>2199.97</v>
      </c>
      <c r="G30" s="18" t="n">
        <f aca="false">C30+F30</f>
        <v>4399.94</v>
      </c>
    </row>
    <row r="32" customFormat="false" ht="45" hidden="false" customHeight="true" outlineLevel="0" collapsed="false">
      <c r="B32" s="37" t="s">
        <v>349</v>
      </c>
      <c r="C32" s="37"/>
      <c r="D32" s="37"/>
      <c r="E32" s="37"/>
      <c r="F32" s="37"/>
      <c r="G32" s="37"/>
      <c r="H32" s="37"/>
    </row>
  </sheetData>
  <mergeCells count="6">
    <mergeCell ref="B2:H2"/>
    <mergeCell ref="B3:H3"/>
    <mergeCell ref="B5:H5"/>
    <mergeCell ref="B12:H12"/>
    <mergeCell ref="B17:H17"/>
    <mergeCell ref="B32:H32"/>
  </mergeCells>
  <conditionalFormatting sqref="G19:G30">
    <cfRule type="cellIs" priority="2" operator="lessThan" aboveAverage="0" equalAverage="0" bottom="0" percent="0" rank="0" text="" dxfId="0">
      <formula>0</formula>
    </cfRule>
    <cfRule type="cellIs" priority="3" operator="greaterThan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6" min="3" style="0" width="15"/>
  </cols>
  <sheetData>
    <row r="2" customFormat="false" ht="27.75" hidden="false" customHeight="true" outlineLevel="0" collapsed="false">
      <c r="B2" s="11" t="s">
        <v>350</v>
      </c>
      <c r="C2" s="11"/>
      <c r="D2" s="11"/>
      <c r="E2" s="11"/>
      <c r="F2" s="11"/>
    </row>
    <row r="3" customFormat="false" ht="15" hidden="false" customHeight="false" outlineLevel="0" collapsed="false">
      <c r="B3" s="12" t="s">
        <v>351</v>
      </c>
      <c r="C3" s="12"/>
      <c r="D3" s="12"/>
      <c r="E3" s="12"/>
      <c r="F3" s="12"/>
    </row>
    <row r="5" customFormat="false" ht="19.5" hidden="false" customHeight="true" outlineLevel="0" collapsed="false">
      <c r="B5" s="13" t="s">
        <v>352</v>
      </c>
      <c r="C5" s="13"/>
      <c r="D5" s="13"/>
      <c r="E5" s="13"/>
      <c r="F5" s="13"/>
    </row>
    <row r="6" customFormat="false" ht="15" hidden="false" customHeight="false" outlineLevel="0" collapsed="false">
      <c r="B6" s="22" t="s">
        <v>353</v>
      </c>
      <c r="C6" s="15" t="s">
        <v>354</v>
      </c>
      <c r="D6" s="15" t="s">
        <v>355</v>
      </c>
      <c r="E6" s="15" t="s">
        <v>356</v>
      </c>
      <c r="F6" s="15" t="s">
        <v>357</v>
      </c>
    </row>
    <row r="7" customFormat="false" ht="15" hidden="false" customHeight="false" outlineLevel="0" collapsed="false">
      <c r="B7" s="62" t="s">
        <v>358</v>
      </c>
      <c r="D7" s="39" t="n">
        <v>0.15</v>
      </c>
      <c r="E7" s="39" t="n">
        <v>0.15</v>
      </c>
    </row>
    <row r="8" customFormat="false" ht="15" hidden="false" customHeight="false" outlineLevel="0" collapsed="false">
      <c r="B8" s="22" t="s">
        <v>345</v>
      </c>
      <c r="D8" s="17" t="n">
        <v>180000</v>
      </c>
      <c r="E8" s="18" t="n">
        <f aca="false">D8*(1+E7)</f>
        <v>207000</v>
      </c>
      <c r="F8" s="18" t="n">
        <f aca="false">E8*(1+F7)</f>
        <v>207000</v>
      </c>
    </row>
    <row r="9" customFormat="false" ht="15" hidden="false" customHeight="false" outlineLevel="0" collapsed="false">
      <c r="B9" s="16" t="s">
        <v>359</v>
      </c>
      <c r="D9" s="39" t="n">
        <v>0.22</v>
      </c>
      <c r="E9" s="39" t="n">
        <v>0.2</v>
      </c>
      <c r="F9" s="39" t="n">
        <v>0.18</v>
      </c>
    </row>
    <row r="10" customFormat="false" ht="15" hidden="false" customHeight="false" outlineLevel="0" collapsed="false">
      <c r="B10" s="22" t="s">
        <v>360</v>
      </c>
      <c r="D10" s="18" t="n">
        <f aca="false">D8*(1-D9)</f>
        <v>140400</v>
      </c>
      <c r="E10" s="18" t="n">
        <f aca="false">E8*(1-E9)</f>
        <v>165600</v>
      </c>
      <c r="F10" s="18" t="n">
        <f aca="false">F8*(1-F9)</f>
        <v>169740</v>
      </c>
    </row>
    <row r="11" customFormat="false" ht="15" hidden="false" customHeight="false" outlineLevel="0" collapsed="false">
      <c r="B11" s="16" t="s">
        <v>361</v>
      </c>
      <c r="D11" s="17" t="n">
        <v>4800</v>
      </c>
      <c r="E11" s="17" t="n">
        <v>5400</v>
      </c>
      <c r="F11" s="17" t="n">
        <v>6000</v>
      </c>
    </row>
    <row r="12" customFormat="false" ht="15" hidden="false" customHeight="false" outlineLevel="0" collapsed="false">
      <c r="B12" s="16" t="s">
        <v>362</v>
      </c>
      <c r="D12" s="17" t="n">
        <v>6000</v>
      </c>
      <c r="E12" s="17" t="n">
        <v>6600</v>
      </c>
      <c r="F12" s="17" t="n">
        <v>7200</v>
      </c>
    </row>
    <row r="13" customFormat="false" ht="15" hidden="false" customHeight="false" outlineLevel="0" collapsed="false">
      <c r="B13" s="16" t="s">
        <v>363</v>
      </c>
      <c r="D13" s="17" t="n">
        <v>12000</v>
      </c>
      <c r="E13" s="17" t="n">
        <v>18000</v>
      </c>
      <c r="F13" s="17" t="n">
        <v>24000</v>
      </c>
    </row>
    <row r="14" customFormat="false" ht="15" hidden="false" customHeight="false" outlineLevel="0" collapsed="false">
      <c r="B14" s="16" t="s">
        <v>364</v>
      </c>
      <c r="D14" s="17" t="n">
        <v>9600</v>
      </c>
      <c r="E14" s="17" t="n">
        <v>14400</v>
      </c>
      <c r="F14" s="17" t="n">
        <v>19200</v>
      </c>
    </row>
    <row r="15" customFormat="false" ht="15" hidden="false" customHeight="false" outlineLevel="0" collapsed="false">
      <c r="B15" s="16" t="s">
        <v>365</v>
      </c>
      <c r="D15" s="17" t="n">
        <v>60000</v>
      </c>
      <c r="E15" s="17" t="n">
        <v>72000</v>
      </c>
      <c r="F15" s="17" t="n">
        <v>84000</v>
      </c>
    </row>
    <row r="16" customFormat="false" ht="15" hidden="false" customHeight="false" outlineLevel="0" collapsed="false">
      <c r="B16" s="22" t="s">
        <v>366</v>
      </c>
      <c r="D16" s="18" t="n">
        <f aca="false">SUM(D11:D15)</f>
        <v>92400</v>
      </c>
      <c r="E16" s="18" t="n">
        <f aca="false">SUM(E11:E15)</f>
        <v>116400</v>
      </c>
      <c r="F16" s="18" t="n">
        <f aca="false">SUM(F11:F15)</f>
        <v>140400</v>
      </c>
    </row>
    <row r="17" customFormat="false" ht="15" hidden="false" customHeight="false" outlineLevel="0" collapsed="false">
      <c r="B17" s="60" t="s">
        <v>367</v>
      </c>
      <c r="C17" s="63"/>
      <c r="D17" s="20" t="n">
        <f aca="false">D10-D16</f>
        <v>48000</v>
      </c>
      <c r="E17" s="20" t="n">
        <f aca="false">E10-E16</f>
        <v>49200</v>
      </c>
      <c r="F17" s="20" t="n">
        <f aca="false">F10-F16</f>
        <v>29340</v>
      </c>
    </row>
    <row r="18" customFormat="false" ht="15" hidden="false" customHeight="false" outlineLevel="0" collapsed="false">
      <c r="B18" s="16" t="s">
        <v>368</v>
      </c>
      <c r="D18" s="17" t="n">
        <v>1200</v>
      </c>
      <c r="E18" s="17" t="n">
        <v>1400</v>
      </c>
      <c r="F18" s="17" t="n">
        <v>1600</v>
      </c>
    </row>
    <row r="19" customFormat="false" ht="15" hidden="false" customHeight="false" outlineLevel="0" collapsed="false">
      <c r="B19" s="22" t="s">
        <v>369</v>
      </c>
      <c r="D19" s="18" t="n">
        <f aca="false">D17-D18</f>
        <v>46800</v>
      </c>
      <c r="E19" s="18" t="n">
        <f aca="false">E17-E18</f>
        <v>47800</v>
      </c>
      <c r="F19" s="18" t="n">
        <f aca="false">F17-F18</f>
        <v>27740</v>
      </c>
    </row>
    <row r="20" customFormat="false" ht="15" hidden="false" customHeight="false" outlineLevel="0" collapsed="false">
      <c r="B20" s="16" t="s">
        <v>370</v>
      </c>
      <c r="D20" s="39" t="n">
        <v>0.24</v>
      </c>
      <c r="E20" s="39" t="n">
        <v>0.24</v>
      </c>
      <c r="F20" s="39" t="n">
        <v>0.24</v>
      </c>
    </row>
    <row r="21" customFormat="false" ht="15" hidden="false" customHeight="false" outlineLevel="0" collapsed="false">
      <c r="B21" s="16" t="s">
        <v>371</v>
      </c>
      <c r="D21" s="26" t="n">
        <f aca="false">MAX(D19,0)*D20</f>
        <v>11232</v>
      </c>
      <c r="E21" s="26" t="n">
        <f aca="false">MAX(E19,0)*E20</f>
        <v>11472</v>
      </c>
      <c r="F21" s="26" t="n">
        <f aca="false">MAX(F19,0)*F20</f>
        <v>6657.6</v>
      </c>
    </row>
    <row r="22" customFormat="false" ht="15" hidden="false" customHeight="false" outlineLevel="0" collapsed="false">
      <c r="B22" s="64" t="s">
        <v>372</v>
      </c>
      <c r="C22" s="45"/>
      <c r="D22" s="29" t="n">
        <f aca="false">D19-D21</f>
        <v>35568</v>
      </c>
      <c r="E22" s="29" t="n">
        <f aca="false">E19-E21</f>
        <v>36328</v>
      </c>
      <c r="F22" s="29" t="n">
        <f aca="false">F19-F21</f>
        <v>21082.4</v>
      </c>
    </row>
    <row r="24" customFormat="false" ht="19.5" hidden="false" customHeight="true" outlineLevel="0" collapsed="false">
      <c r="B24" s="21" t="s">
        <v>373</v>
      </c>
      <c r="C24" s="21"/>
      <c r="D24" s="21"/>
      <c r="E24" s="21"/>
      <c r="F24" s="21"/>
    </row>
    <row r="25" customFormat="false" ht="15" hidden="false" customHeight="false" outlineLevel="0" collapsed="false">
      <c r="B25" s="22" t="s">
        <v>353</v>
      </c>
      <c r="C25" s="15" t="s">
        <v>354</v>
      </c>
      <c r="D25" s="15" t="s">
        <v>355</v>
      </c>
      <c r="E25" s="15" t="s">
        <v>356</v>
      </c>
      <c r="F25" s="15" t="s">
        <v>357</v>
      </c>
    </row>
    <row r="26" customFormat="false" ht="15" hidden="false" customHeight="false" outlineLevel="0" collapsed="false">
      <c r="B26" s="65" t="s">
        <v>251</v>
      </c>
    </row>
    <row r="27" customFormat="false" ht="15" hidden="false" customHeight="false" outlineLevel="0" collapsed="false">
      <c r="B27" s="16" t="s">
        <v>374</v>
      </c>
      <c r="C27" s="17" t="n">
        <v>22000</v>
      </c>
      <c r="D27" s="26" t="n">
        <f aca="false">D61</f>
        <v>52648</v>
      </c>
      <c r="E27" s="26" t="n">
        <f aca="false">E61</f>
        <v>83738</v>
      </c>
      <c r="F27" s="26" t="n">
        <f aca="false">F61</f>
        <v>99420.4</v>
      </c>
    </row>
    <row r="28" customFormat="false" ht="15" hidden="false" customHeight="false" outlineLevel="0" collapsed="false">
      <c r="B28" s="16" t="s">
        <v>375</v>
      </c>
      <c r="C28" s="17" t="n">
        <v>3200</v>
      </c>
      <c r="D28" s="26" t="n">
        <f aca="false">C28*(1+D7)</f>
        <v>3680</v>
      </c>
      <c r="E28" s="26" t="n">
        <f aca="false">D28*(1+E7)</f>
        <v>4232</v>
      </c>
      <c r="F28" s="26" t="n">
        <f aca="false">E28</f>
        <v>4232</v>
      </c>
    </row>
    <row r="29" customFormat="false" ht="15" hidden="false" customHeight="false" outlineLevel="0" collapsed="false">
      <c r="B29" s="16" t="s">
        <v>376</v>
      </c>
      <c r="C29" s="17" t="n">
        <v>8000</v>
      </c>
      <c r="D29" s="26" t="n">
        <f aca="false">C29-D52-D18</f>
        <v>8800</v>
      </c>
      <c r="E29" s="26" t="n">
        <f aca="false">D29-E52-E18</f>
        <v>9900</v>
      </c>
      <c r="F29" s="26" t="n">
        <f aca="false">E29-F52-F18</f>
        <v>11300</v>
      </c>
    </row>
    <row r="30" customFormat="false" ht="15" hidden="false" customHeight="false" outlineLevel="0" collapsed="false">
      <c r="B30" s="60" t="s">
        <v>267</v>
      </c>
      <c r="C30" s="20" t="n">
        <f aca="false">SUM(C27:C29)</f>
        <v>33200</v>
      </c>
      <c r="D30" s="20" t="n">
        <f aca="false">SUM(D27:D29)</f>
        <v>65128</v>
      </c>
      <c r="E30" s="20" t="n">
        <f aca="false">SUM(E27:E29)</f>
        <v>97870</v>
      </c>
      <c r="F30" s="20" t="n">
        <f aca="false">SUM(F27:F29)</f>
        <v>114952.4</v>
      </c>
    </row>
    <row r="31" customFormat="false" ht="15" hidden="false" customHeight="false" outlineLevel="0" collapsed="false">
      <c r="B31" s="65" t="s">
        <v>268</v>
      </c>
    </row>
    <row r="32" customFormat="false" ht="15" hidden="false" customHeight="false" outlineLevel="0" collapsed="false">
      <c r="B32" s="16" t="s">
        <v>377</v>
      </c>
      <c r="C32" s="17" t="n">
        <v>2400</v>
      </c>
      <c r="D32" s="26" t="n">
        <f aca="false">C32*(1+D7)</f>
        <v>2760</v>
      </c>
      <c r="E32" s="26" t="n">
        <f aca="false">D32*(1+E7)</f>
        <v>3174</v>
      </c>
      <c r="F32" s="26" t="n">
        <f aca="false">E32</f>
        <v>3174</v>
      </c>
    </row>
    <row r="33" customFormat="false" ht="15" hidden="false" customHeight="false" outlineLevel="0" collapsed="false">
      <c r="B33" s="16" t="s">
        <v>378</v>
      </c>
      <c r="C33" s="17" t="n">
        <v>12000</v>
      </c>
      <c r="D33" s="17" t="n">
        <v>8000</v>
      </c>
      <c r="E33" s="17" t="n">
        <v>4000</v>
      </c>
      <c r="F33" s="17" t="n">
        <v>0</v>
      </c>
    </row>
    <row r="34" customFormat="false" ht="15" hidden="false" customHeight="false" outlineLevel="0" collapsed="false">
      <c r="B34" s="60" t="s">
        <v>273</v>
      </c>
      <c r="C34" s="20" t="n">
        <f aca="false">SUM(C32:C33)</f>
        <v>14400</v>
      </c>
      <c r="D34" s="20" t="n">
        <f aca="false">SUM(D32:D33)</f>
        <v>10760</v>
      </c>
      <c r="E34" s="20" t="n">
        <f aca="false">SUM(E32:E33)</f>
        <v>7174</v>
      </c>
      <c r="F34" s="20" t="n">
        <f aca="false">SUM(F32:F33)</f>
        <v>3174</v>
      </c>
    </row>
    <row r="35" customFormat="false" ht="15" hidden="false" customHeight="false" outlineLevel="0" collapsed="false">
      <c r="B35" s="65" t="s">
        <v>379</v>
      </c>
    </row>
    <row r="36" customFormat="false" ht="15" hidden="false" customHeight="false" outlineLevel="0" collapsed="false">
      <c r="B36" s="16" t="s">
        <v>380</v>
      </c>
      <c r="C36" s="26" t="n">
        <f aca="false">C30-C34</f>
        <v>18800</v>
      </c>
      <c r="D36" s="26" t="n">
        <f aca="false">C39</f>
        <v>18800</v>
      </c>
      <c r="E36" s="26" t="n">
        <f aca="false">D39</f>
        <v>54368</v>
      </c>
      <c r="F36" s="26" t="n">
        <f aca="false">E39</f>
        <v>90696</v>
      </c>
    </row>
    <row r="37" customFormat="false" ht="15" hidden="false" customHeight="false" outlineLevel="0" collapsed="false">
      <c r="B37" s="16" t="s">
        <v>381</v>
      </c>
      <c r="D37" s="26" t="n">
        <f aca="false">D22</f>
        <v>35568</v>
      </c>
      <c r="E37" s="26" t="n">
        <f aca="false">E22</f>
        <v>36328</v>
      </c>
      <c r="F37" s="26" t="n">
        <f aca="false">F22</f>
        <v>21082.4</v>
      </c>
    </row>
    <row r="38" customFormat="false" ht="15" hidden="false" customHeight="false" outlineLevel="0" collapsed="false">
      <c r="B38" s="16" t="s">
        <v>382</v>
      </c>
      <c r="D38" s="17" t="n">
        <v>0</v>
      </c>
      <c r="E38" s="17" t="n">
        <v>0</v>
      </c>
      <c r="F38" s="17" t="n">
        <v>0</v>
      </c>
    </row>
    <row r="39" customFormat="false" ht="15" hidden="false" customHeight="false" outlineLevel="0" collapsed="false">
      <c r="B39" s="22" t="s">
        <v>383</v>
      </c>
      <c r="C39" s="18" t="n">
        <f aca="false">C36</f>
        <v>18800</v>
      </c>
      <c r="D39" s="18" t="n">
        <f aca="false">D36+D37-D38</f>
        <v>54368</v>
      </c>
      <c r="E39" s="18" t="n">
        <f aca="false">E36+E37-E38</f>
        <v>90696</v>
      </c>
      <c r="F39" s="18" t="n">
        <f aca="false">F36+F37-F38</f>
        <v>111778.4</v>
      </c>
    </row>
    <row r="40" customFormat="false" ht="15" hidden="false" customHeight="false" outlineLevel="0" collapsed="false">
      <c r="B40" s="64" t="s">
        <v>384</v>
      </c>
      <c r="C40" s="29" t="n">
        <f aca="false">C34+C39</f>
        <v>33200</v>
      </c>
      <c r="D40" s="29" t="n">
        <f aca="false">D34+D39</f>
        <v>65128</v>
      </c>
      <c r="E40" s="29" t="n">
        <f aca="false">E34+E39</f>
        <v>97870</v>
      </c>
      <c r="F40" s="29" t="n">
        <f aca="false">F34+F39</f>
        <v>114952.4</v>
      </c>
    </row>
    <row r="41" customFormat="false" ht="15" hidden="false" customHeight="false" outlineLevel="0" collapsed="false">
      <c r="B41" s="30" t="s">
        <v>385</v>
      </c>
      <c r="C41" s="26" t="n">
        <f aca="false">C30-C40</f>
        <v>0</v>
      </c>
      <c r="D41" s="26" t="n">
        <f aca="false">D30-D40</f>
        <v>0</v>
      </c>
      <c r="E41" s="26" t="n">
        <f aca="false">E30-E40</f>
        <v>0</v>
      </c>
      <c r="F41" s="26" t="n">
        <f aca="false">F30-F40</f>
        <v>0</v>
      </c>
    </row>
    <row r="43" customFormat="false" ht="19.5" hidden="false" customHeight="true" outlineLevel="0" collapsed="false">
      <c r="B43" s="8" t="s">
        <v>386</v>
      </c>
      <c r="C43" s="8"/>
      <c r="D43" s="8"/>
      <c r="E43" s="8"/>
      <c r="F43" s="8"/>
    </row>
    <row r="44" customFormat="false" ht="15" hidden="false" customHeight="false" outlineLevel="0" collapsed="false">
      <c r="B44" s="22" t="s">
        <v>353</v>
      </c>
      <c r="D44" s="15" t="s">
        <v>355</v>
      </c>
      <c r="E44" s="15" t="s">
        <v>356</v>
      </c>
      <c r="F44" s="15" t="s">
        <v>357</v>
      </c>
    </row>
    <row r="45" customFormat="false" ht="15" hidden="false" customHeight="false" outlineLevel="0" collapsed="false">
      <c r="B45" s="65" t="s">
        <v>387</v>
      </c>
    </row>
    <row r="46" customFormat="false" ht="15" hidden="false" customHeight="false" outlineLevel="0" collapsed="false">
      <c r="B46" s="16" t="s">
        <v>388</v>
      </c>
      <c r="D46" s="26" t="n">
        <f aca="false">D22</f>
        <v>35568</v>
      </c>
      <c r="E46" s="26" t="n">
        <f aca="false">E22</f>
        <v>36328</v>
      </c>
      <c r="F46" s="26" t="n">
        <f aca="false">F22</f>
        <v>21082.4</v>
      </c>
    </row>
    <row r="47" customFormat="false" ht="15" hidden="false" customHeight="false" outlineLevel="0" collapsed="false">
      <c r="B47" s="16" t="s">
        <v>389</v>
      </c>
      <c r="D47" s="26" t="n">
        <f aca="false">D18</f>
        <v>1200</v>
      </c>
      <c r="E47" s="26" t="n">
        <f aca="false">E18</f>
        <v>1400</v>
      </c>
      <c r="F47" s="26" t="n">
        <f aca="false">F18</f>
        <v>1600</v>
      </c>
    </row>
    <row r="48" customFormat="false" ht="15" hidden="false" customHeight="false" outlineLevel="0" collapsed="false">
      <c r="B48" s="16" t="s">
        <v>390</v>
      </c>
      <c r="D48" s="26" t="n">
        <f aca="false">-(D28-C28)</f>
        <v>-480</v>
      </c>
      <c r="E48" s="26" t="n">
        <f aca="false">-(E28-D28)</f>
        <v>-552</v>
      </c>
      <c r="F48" s="26" t="n">
        <f aca="false">-(F28-E28)</f>
        <v>-0</v>
      </c>
    </row>
    <row r="49" customFormat="false" ht="15" hidden="false" customHeight="false" outlineLevel="0" collapsed="false">
      <c r="B49" s="16" t="s">
        <v>391</v>
      </c>
      <c r="D49" s="26" t="n">
        <f aca="false">D32-C32</f>
        <v>360</v>
      </c>
      <c r="E49" s="26" t="n">
        <f aca="false">E32-D32</f>
        <v>414</v>
      </c>
      <c r="F49" s="26" t="n">
        <f aca="false">F32-E32</f>
        <v>0</v>
      </c>
    </row>
    <row r="50" customFormat="false" ht="15" hidden="false" customHeight="false" outlineLevel="0" collapsed="false">
      <c r="B50" s="60" t="s">
        <v>392</v>
      </c>
      <c r="C50" s="63"/>
      <c r="D50" s="20" t="n">
        <f aca="false">SUM(D46:D49)</f>
        <v>36648</v>
      </c>
      <c r="E50" s="20" t="n">
        <f aca="false">SUM(E46:E49)</f>
        <v>37590</v>
      </c>
      <c r="F50" s="20" t="n">
        <f aca="false">SUM(F46:F49)</f>
        <v>22682.4</v>
      </c>
    </row>
    <row r="51" customFormat="false" ht="15" hidden="false" customHeight="false" outlineLevel="0" collapsed="false">
      <c r="B51" s="65" t="s">
        <v>393</v>
      </c>
    </row>
    <row r="52" customFormat="false" ht="15" hidden="false" customHeight="false" outlineLevel="0" collapsed="false">
      <c r="B52" s="16" t="s">
        <v>394</v>
      </c>
      <c r="D52" s="17" t="n">
        <v>-2000</v>
      </c>
      <c r="E52" s="17" t="n">
        <v>-2500</v>
      </c>
      <c r="F52" s="17" t="n">
        <v>-3000</v>
      </c>
    </row>
    <row r="53" customFormat="false" ht="15" hidden="false" customHeight="false" outlineLevel="0" collapsed="false">
      <c r="B53" s="60" t="s">
        <v>395</v>
      </c>
      <c r="C53" s="63"/>
      <c r="D53" s="20" t="n">
        <f aca="false">D52</f>
        <v>-2000</v>
      </c>
      <c r="E53" s="20" t="n">
        <f aca="false">E52</f>
        <v>-2500</v>
      </c>
      <c r="F53" s="20" t="n">
        <f aca="false">F52</f>
        <v>-3000</v>
      </c>
    </row>
    <row r="54" customFormat="false" ht="15" hidden="false" customHeight="false" outlineLevel="0" collapsed="false">
      <c r="B54" s="65" t="s">
        <v>396</v>
      </c>
    </row>
    <row r="55" customFormat="false" ht="15" hidden="false" customHeight="false" outlineLevel="0" collapsed="false">
      <c r="B55" s="16" t="s">
        <v>397</v>
      </c>
      <c r="D55" s="26" t="n">
        <f aca="false">D33-C33</f>
        <v>-4000</v>
      </c>
      <c r="E55" s="26" t="n">
        <f aca="false">E33-D33</f>
        <v>-4000</v>
      </c>
      <c r="F55" s="26" t="n">
        <f aca="false">F33-E33</f>
        <v>-4000</v>
      </c>
    </row>
    <row r="56" customFormat="false" ht="15" hidden="false" customHeight="false" outlineLevel="0" collapsed="false">
      <c r="B56" s="16" t="s">
        <v>382</v>
      </c>
      <c r="D56" s="26" t="n">
        <f aca="false">-D38</f>
        <v>-0</v>
      </c>
      <c r="E56" s="26" t="n">
        <f aca="false">-E38</f>
        <v>-0</v>
      </c>
      <c r="F56" s="26" t="n">
        <f aca="false">-F38</f>
        <v>-0</v>
      </c>
    </row>
    <row r="57" customFormat="false" ht="15" hidden="false" customHeight="false" outlineLevel="0" collapsed="false">
      <c r="B57" s="60" t="s">
        <v>398</v>
      </c>
      <c r="C57" s="63"/>
      <c r="D57" s="20" t="n">
        <f aca="false">D55+D56</f>
        <v>-4000</v>
      </c>
      <c r="E57" s="20" t="n">
        <f aca="false">E55+E56</f>
        <v>-4000</v>
      </c>
      <c r="F57" s="20" t="n">
        <f aca="false">F55+F56</f>
        <v>-4000</v>
      </c>
    </row>
    <row r="59" customFormat="false" ht="15" hidden="false" customHeight="false" outlineLevel="0" collapsed="false">
      <c r="B59" s="22" t="s">
        <v>399</v>
      </c>
      <c r="D59" s="18" t="n">
        <f aca="false">D50+D53+D57</f>
        <v>30648</v>
      </c>
      <c r="E59" s="18" t="n">
        <f aca="false">E50+E53+E57</f>
        <v>31090</v>
      </c>
      <c r="F59" s="18" t="n">
        <f aca="false">F50+F53+F57</f>
        <v>15682.4</v>
      </c>
    </row>
    <row r="60" customFormat="false" ht="15" hidden="false" customHeight="false" outlineLevel="0" collapsed="false">
      <c r="B60" s="16" t="s">
        <v>327</v>
      </c>
      <c r="D60" s="26" t="n">
        <f aca="false">C27</f>
        <v>22000</v>
      </c>
      <c r="E60" s="26" t="n">
        <f aca="false">D27</f>
        <v>52648</v>
      </c>
      <c r="F60" s="26" t="n">
        <f aca="false">E27</f>
        <v>83738</v>
      </c>
    </row>
    <row r="61" customFormat="false" ht="15" hidden="false" customHeight="false" outlineLevel="0" collapsed="false">
      <c r="B61" s="64" t="s">
        <v>400</v>
      </c>
      <c r="C61" s="45"/>
      <c r="D61" s="29" t="n">
        <f aca="false">D60+D59</f>
        <v>52648</v>
      </c>
      <c r="E61" s="29" t="n">
        <f aca="false">E60+E59</f>
        <v>83738</v>
      </c>
      <c r="F61" s="29" t="n">
        <f aca="false">F60+F59</f>
        <v>99420.4</v>
      </c>
    </row>
    <row r="63" customFormat="false" ht="69.75" hidden="false" customHeight="true" outlineLevel="0" collapsed="false">
      <c r="B63" s="37" t="s">
        <v>401</v>
      </c>
      <c r="C63" s="37"/>
      <c r="D63" s="37"/>
      <c r="E63" s="37"/>
      <c r="F63" s="37"/>
    </row>
  </sheetData>
  <mergeCells count="6">
    <mergeCell ref="B2:F2"/>
    <mergeCell ref="B3:F3"/>
    <mergeCell ref="B5:F5"/>
    <mergeCell ref="B24:F24"/>
    <mergeCell ref="B43:F43"/>
    <mergeCell ref="B63:F63"/>
  </mergeCells>
  <conditionalFormatting sqref="C41:F41">
    <cfRule type="cellIs" priority="2" operator="notEqual"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9" min="3" style="0" width="14"/>
    <col collapsed="false" customWidth="true" hidden="false" outlineLevel="0" max="10" min="10" style="0" width="16"/>
  </cols>
  <sheetData>
    <row r="2" customFormat="false" ht="27.75" hidden="false" customHeight="true" outlineLevel="0" collapsed="false">
      <c r="B2" s="11" t="s">
        <v>402</v>
      </c>
      <c r="C2" s="11"/>
      <c r="D2" s="11"/>
      <c r="E2" s="11"/>
      <c r="F2" s="11"/>
      <c r="G2" s="11"/>
      <c r="H2" s="11"/>
      <c r="I2" s="11"/>
      <c r="J2" s="11"/>
    </row>
    <row r="3" customFormat="false" ht="15" hidden="false" customHeight="false" outlineLevel="0" collapsed="false">
      <c r="B3" s="12" t="s">
        <v>28</v>
      </c>
      <c r="C3" s="12"/>
      <c r="D3" s="12"/>
      <c r="E3" s="12"/>
      <c r="F3" s="12"/>
      <c r="G3" s="12"/>
      <c r="H3" s="12"/>
      <c r="I3" s="12"/>
      <c r="J3" s="12"/>
    </row>
    <row r="5" customFormat="false" ht="19.5" hidden="false" customHeight="true" outlineLevel="0" collapsed="false">
      <c r="B5" s="13" t="s">
        <v>403</v>
      </c>
      <c r="C5" s="13"/>
      <c r="D5" s="13"/>
      <c r="E5" s="13"/>
      <c r="F5" s="13"/>
      <c r="G5" s="13"/>
      <c r="H5" s="13"/>
      <c r="I5" s="13"/>
      <c r="J5" s="13"/>
    </row>
    <row r="6" customFormat="false" ht="15" hidden="false" customHeight="false" outlineLevel="0" collapsed="false">
      <c r="B6" s="16" t="s">
        <v>404</v>
      </c>
      <c r="C6" s="17" t="n">
        <v>50000</v>
      </c>
    </row>
    <row r="7" customFormat="false" ht="15" hidden="false" customHeight="false" outlineLevel="0" collapsed="false">
      <c r="B7" s="16" t="s">
        <v>405</v>
      </c>
      <c r="C7" s="39" t="n">
        <v>0.01</v>
      </c>
    </row>
    <row r="8" customFormat="false" ht="15" hidden="false" customHeight="false" outlineLevel="0" collapsed="false">
      <c r="B8" s="16" t="s">
        <v>406</v>
      </c>
      <c r="C8" s="39" t="n">
        <v>0.06</v>
      </c>
    </row>
    <row r="9" customFormat="false" ht="15" hidden="false" customHeight="false" outlineLevel="0" collapsed="false">
      <c r="B9" s="16" t="s">
        <v>407</v>
      </c>
      <c r="C9" s="39" t="n">
        <v>0.2</v>
      </c>
    </row>
    <row r="10" customFormat="false" ht="15" hidden="false" customHeight="false" outlineLevel="0" collapsed="false">
      <c r="B10" s="16" t="s">
        <v>408</v>
      </c>
      <c r="C10" s="39" t="n">
        <v>0.35</v>
      </c>
    </row>
    <row r="11" customFormat="false" ht="15" hidden="false" customHeight="false" outlineLevel="0" collapsed="false">
      <c r="B11" s="16" t="s">
        <v>409</v>
      </c>
      <c r="C11" s="39" t="n">
        <v>0.03</v>
      </c>
    </row>
    <row r="13" customFormat="false" ht="19.5" hidden="false" customHeight="true" outlineLevel="0" collapsed="false">
      <c r="B13" s="21" t="s">
        <v>410</v>
      </c>
      <c r="C13" s="21"/>
      <c r="D13" s="21"/>
      <c r="E13" s="21"/>
      <c r="F13" s="21"/>
      <c r="G13" s="21"/>
      <c r="H13" s="21"/>
      <c r="I13" s="21"/>
      <c r="J13" s="21"/>
    </row>
    <row r="14" customFormat="false" ht="23.85" hidden="false" customHeight="false" outlineLevel="0" collapsed="false">
      <c r="B14" s="15" t="s">
        <v>411</v>
      </c>
      <c r="C14" s="15" t="s">
        <v>412</v>
      </c>
      <c r="D14" s="15" t="s">
        <v>413</v>
      </c>
      <c r="E14" s="15" t="s">
        <v>414</v>
      </c>
      <c r="F14" s="15" t="s">
        <v>415</v>
      </c>
      <c r="G14" s="15" t="s">
        <v>416</v>
      </c>
      <c r="H14" s="15" t="s">
        <v>417</v>
      </c>
      <c r="I14" s="15" t="s">
        <v>418</v>
      </c>
      <c r="J14" s="15" t="s">
        <v>419</v>
      </c>
      <c r="K14" s="15" t="s">
        <v>420</v>
      </c>
    </row>
    <row r="15" customFormat="false" ht="15" hidden="false" customHeight="false" outlineLevel="0" collapsed="false">
      <c r="B15" s="48" t="s">
        <v>421</v>
      </c>
      <c r="C15" s="52" t="n">
        <v>76.8</v>
      </c>
      <c r="D15" s="52" t="n">
        <v>2.15</v>
      </c>
      <c r="E15" s="50" t="n">
        <v>1.5</v>
      </c>
      <c r="F15" s="66" t="n">
        <f aca="false">C15-(D15*E15)</f>
        <v>73.575</v>
      </c>
      <c r="G15" s="66" t="n">
        <f aca="false">C15-F15</f>
        <v>3.22499999999999</v>
      </c>
      <c r="H15" s="34" t="n">
        <f aca="false">FLOOR(($C$6*$C$7)/G15,1)</f>
        <v>155</v>
      </c>
      <c r="I15" s="34" t="n">
        <f aca="false">FLOOR(($C$6*$C$9)/C15,1)</f>
        <v>130</v>
      </c>
      <c r="J15" s="41" t="n">
        <f aca="false">MIN(H15,I15)</f>
        <v>130</v>
      </c>
      <c r="K15" s="18" t="n">
        <f aca="false">J15*G15</f>
        <v>419.249999999999</v>
      </c>
    </row>
    <row r="16" customFormat="false" ht="15" hidden="false" customHeight="false" outlineLevel="0" collapsed="false">
      <c r="B16" s="48" t="s">
        <v>422</v>
      </c>
      <c r="C16" s="52" t="n">
        <v>542</v>
      </c>
      <c r="D16" s="52" t="n">
        <v>4.8</v>
      </c>
      <c r="E16" s="50" t="n">
        <v>2</v>
      </c>
      <c r="F16" s="66" t="n">
        <f aca="false">C16-(D16*E16)</f>
        <v>532.4</v>
      </c>
      <c r="G16" s="66" t="n">
        <f aca="false">C16-F16</f>
        <v>9.60000000000002</v>
      </c>
      <c r="H16" s="34" t="n">
        <f aca="false">FLOOR(($C$6*$C$7)/G16,1)</f>
        <v>52</v>
      </c>
      <c r="I16" s="34" t="n">
        <f aca="false">FLOOR(($C$6*$C$9)/C16,1)</f>
        <v>18</v>
      </c>
      <c r="J16" s="41" t="n">
        <f aca="false">MIN(H16,I16)</f>
        <v>18</v>
      </c>
      <c r="K16" s="18" t="n">
        <f aca="false">J16*G16</f>
        <v>172.8</v>
      </c>
    </row>
    <row r="17" customFormat="false" ht="15" hidden="false" customHeight="false" outlineLevel="0" collapsed="false">
      <c r="B17" s="48" t="s">
        <v>423</v>
      </c>
      <c r="C17" s="52" t="n">
        <v>478.5</v>
      </c>
      <c r="D17" s="52" t="n">
        <v>5.6</v>
      </c>
      <c r="E17" s="50" t="n">
        <v>1.5</v>
      </c>
      <c r="F17" s="66" t="n">
        <f aca="false">C17-(D17*E17)</f>
        <v>470.1</v>
      </c>
      <c r="G17" s="66" t="n">
        <f aca="false">C17-F17</f>
        <v>8.39999999999998</v>
      </c>
      <c r="H17" s="34" t="n">
        <f aca="false">FLOOR(($C$6*$C$7)/G17,1)</f>
        <v>59</v>
      </c>
      <c r="I17" s="34" t="n">
        <f aca="false">FLOOR(($C$6*$C$9)/C17,1)</f>
        <v>20</v>
      </c>
      <c r="J17" s="41" t="n">
        <f aca="false">MIN(H17,I17)</f>
        <v>20</v>
      </c>
      <c r="K17" s="18" t="n">
        <f aca="false">J17*G17</f>
        <v>168</v>
      </c>
    </row>
    <row r="18" customFormat="false" ht="15" hidden="false" customHeight="false" outlineLevel="0" collapsed="false">
      <c r="B18" s="22" t="s">
        <v>424</v>
      </c>
      <c r="K18" s="18" t="n">
        <f aca="false">SUM(K15:K17)</f>
        <v>760.049999999999</v>
      </c>
    </row>
    <row r="19" customFormat="false" ht="15" hidden="false" customHeight="false" outlineLevel="0" collapsed="false">
      <c r="B19" s="30" t="s">
        <v>425</v>
      </c>
      <c r="K19" s="31" t="n">
        <f aca="false">IFERROR(K18/C6,0)</f>
        <v>0.015201</v>
      </c>
    </row>
    <row r="20" customFormat="false" ht="15" hidden="false" customHeight="false" outlineLevel="0" collapsed="false">
      <c r="B20" s="67" t="s">
        <v>426</v>
      </c>
      <c r="K20" s="68" t="str">
        <f aca="false">IF(K19&gt;C8,"OVER LIMIT — Reduce Exposure","Within Limit")</f>
        <v>Within Limit</v>
      </c>
    </row>
    <row r="22" customFormat="false" ht="19.5" hidden="false" customHeight="true" outlineLevel="0" collapsed="false">
      <c r="B22" s="8" t="s">
        <v>427</v>
      </c>
      <c r="C22" s="8"/>
      <c r="D22" s="8"/>
      <c r="E22" s="8"/>
      <c r="F22" s="8"/>
      <c r="G22" s="8"/>
      <c r="H22" s="8"/>
      <c r="I22" s="8"/>
      <c r="J22" s="8"/>
    </row>
    <row r="23" customFormat="false" ht="23.85" hidden="false" customHeight="false" outlineLevel="0" collapsed="false">
      <c r="B23" s="15" t="s">
        <v>428</v>
      </c>
      <c r="C23" s="15" t="s">
        <v>429</v>
      </c>
    </row>
    <row r="24" customFormat="false" ht="15" hidden="false" customHeight="false" outlineLevel="0" collapsed="false">
      <c r="B24" s="39" t="n">
        <v>0.05</v>
      </c>
      <c r="C24" s="31" t="n">
        <f aca="false">B24/(1-B24)</f>
        <v>0.0526315789473684</v>
      </c>
    </row>
    <row r="25" customFormat="false" ht="15" hidden="false" customHeight="false" outlineLevel="0" collapsed="false">
      <c r="B25" s="39" t="n">
        <v>0.1</v>
      </c>
      <c r="C25" s="31" t="n">
        <f aca="false">B25/(1-B25)</f>
        <v>0.111111111111111</v>
      </c>
    </row>
    <row r="26" customFormat="false" ht="15" hidden="false" customHeight="false" outlineLevel="0" collapsed="false">
      <c r="B26" s="39" t="n">
        <v>0.15</v>
      </c>
      <c r="C26" s="31" t="n">
        <f aca="false">B26/(1-B26)</f>
        <v>0.176470588235294</v>
      </c>
    </row>
    <row r="27" customFormat="false" ht="15" hidden="false" customHeight="false" outlineLevel="0" collapsed="false">
      <c r="B27" s="39" t="n">
        <v>0.2</v>
      </c>
      <c r="C27" s="31" t="n">
        <f aca="false">B27/(1-B27)</f>
        <v>0.25</v>
      </c>
    </row>
    <row r="28" customFormat="false" ht="15" hidden="false" customHeight="false" outlineLevel="0" collapsed="false">
      <c r="B28" s="39" t="n">
        <v>0.25</v>
      </c>
      <c r="C28" s="31" t="n">
        <f aca="false">B28/(1-B28)</f>
        <v>0.333333333333333</v>
      </c>
    </row>
    <row r="29" customFormat="false" ht="15" hidden="false" customHeight="false" outlineLevel="0" collapsed="false">
      <c r="B29" s="39" t="n">
        <v>0.3</v>
      </c>
      <c r="C29" s="31" t="n">
        <f aca="false">B29/(1-B29)</f>
        <v>0.428571428571429</v>
      </c>
    </row>
    <row r="30" customFormat="false" ht="15" hidden="false" customHeight="false" outlineLevel="0" collapsed="false">
      <c r="B30" s="39" t="n">
        <v>0.4</v>
      </c>
      <c r="C30" s="31" t="n">
        <f aca="false">B30/(1-B30)</f>
        <v>0.666666666666667</v>
      </c>
    </row>
    <row r="31" customFormat="false" ht="15" hidden="false" customHeight="false" outlineLevel="0" collapsed="false">
      <c r="B31" s="39" t="n">
        <v>0.5</v>
      </c>
      <c r="C31" s="31" t="n">
        <f aca="false">B31/(1-B31)</f>
        <v>1</v>
      </c>
    </row>
    <row r="32" customFormat="false" ht="15" hidden="false" customHeight="false" outlineLevel="0" collapsed="false">
      <c r="B32" s="39" t="n">
        <v>0.6</v>
      </c>
      <c r="C32" s="31" t="n">
        <f aca="false">B32/(1-B32)</f>
        <v>1.5</v>
      </c>
    </row>
    <row r="34" customFormat="false" ht="84.75" hidden="false" customHeight="true" outlineLevel="0" collapsed="false">
      <c r="B34" s="37" t="s">
        <v>430</v>
      </c>
      <c r="C34" s="37"/>
      <c r="D34" s="37"/>
      <c r="E34" s="37"/>
      <c r="F34" s="37"/>
      <c r="G34" s="37"/>
      <c r="H34" s="37"/>
      <c r="I34" s="37"/>
      <c r="J34" s="37"/>
    </row>
  </sheetData>
  <mergeCells count="6">
    <mergeCell ref="B2:J2"/>
    <mergeCell ref="B3:J3"/>
    <mergeCell ref="B5:J5"/>
    <mergeCell ref="B13:J13"/>
    <mergeCell ref="B22:J22"/>
    <mergeCell ref="B34:J34"/>
  </mergeCells>
  <conditionalFormatting sqref="K20">
    <cfRule type="cellIs" priority="2" operator="equal" aboveAverage="0" equalAverage="0" bottom="0" percent="0" rank="0" text="" dxfId="1">
      <formula>"Within Limit"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7" min="3" style="0" width="18"/>
    <col collapsed="false" customWidth="true" hidden="false" outlineLevel="0" max="8" min="8" style="0" width="14"/>
    <col collapsed="false" customWidth="true" hidden="false" outlineLevel="0" max="9" min="9" style="0" width="16"/>
  </cols>
  <sheetData>
    <row r="2" customFormat="false" ht="27.75" hidden="false" customHeight="true" outlineLevel="0" collapsed="false">
      <c r="B2" s="11" t="s">
        <v>431</v>
      </c>
      <c r="C2" s="11"/>
      <c r="D2" s="11"/>
      <c r="E2" s="11"/>
      <c r="F2" s="11"/>
      <c r="G2" s="11"/>
      <c r="H2" s="11"/>
      <c r="I2" s="11"/>
    </row>
    <row r="3" customFormat="false" ht="15" hidden="false" customHeight="false" outlineLevel="0" collapsed="false">
      <c r="B3" s="12" t="s">
        <v>30</v>
      </c>
      <c r="C3" s="12"/>
      <c r="D3" s="12"/>
      <c r="E3" s="12"/>
      <c r="F3" s="12"/>
      <c r="G3" s="12"/>
      <c r="H3" s="12"/>
      <c r="I3" s="12"/>
    </row>
    <row r="5" customFormat="false" ht="19.5" hidden="false" customHeight="true" outlineLevel="0" collapsed="false">
      <c r="B5" s="13" t="s">
        <v>432</v>
      </c>
      <c r="C5" s="13"/>
      <c r="D5" s="13"/>
      <c r="E5" s="13"/>
      <c r="F5" s="13"/>
      <c r="G5" s="13"/>
      <c r="H5" s="13"/>
      <c r="I5" s="13"/>
    </row>
    <row r="6" customFormat="false" ht="23.85" hidden="false" customHeight="false" outlineLevel="0" collapsed="false">
      <c r="B6" s="15" t="s">
        <v>433</v>
      </c>
      <c r="C6" s="15" t="s">
        <v>434</v>
      </c>
      <c r="D6" s="15" t="s">
        <v>435</v>
      </c>
      <c r="E6" s="15" t="s">
        <v>436</v>
      </c>
      <c r="F6" s="15" t="s">
        <v>437</v>
      </c>
      <c r="G6" s="15" t="s">
        <v>438</v>
      </c>
      <c r="H6" s="15" t="s">
        <v>439</v>
      </c>
      <c r="I6" s="15" t="s">
        <v>440</v>
      </c>
    </row>
    <row r="7" customFormat="false" ht="15" hidden="false" customHeight="false" outlineLevel="0" collapsed="false">
      <c r="B7" s="69" t="s">
        <v>441</v>
      </c>
      <c r="C7" s="32" t="s">
        <v>442</v>
      </c>
      <c r="D7" s="32" t="s">
        <v>443</v>
      </c>
      <c r="E7" s="32" t="s">
        <v>444</v>
      </c>
      <c r="F7" s="32" t="s">
        <v>445</v>
      </c>
      <c r="G7" s="17" t="n">
        <v>25000</v>
      </c>
      <c r="H7" s="31" t="n">
        <f aca="false">IFERROR(G7/G15,0)</f>
        <v>0.0580046403712297</v>
      </c>
      <c r="I7" s="38" t="n">
        <v>1</v>
      </c>
    </row>
    <row r="8" customFormat="false" ht="15" hidden="false" customHeight="false" outlineLevel="0" collapsed="false">
      <c r="B8" s="69" t="s">
        <v>446</v>
      </c>
      <c r="C8" s="32" t="s">
        <v>447</v>
      </c>
      <c r="D8" s="32" t="s">
        <v>443</v>
      </c>
      <c r="E8" s="32" t="s">
        <v>448</v>
      </c>
      <c r="F8" s="32" t="s">
        <v>449</v>
      </c>
      <c r="G8" s="17" t="n">
        <v>65000</v>
      </c>
      <c r="H8" s="31" t="n">
        <f aca="false">IFERROR(G8/G15,0)</f>
        <v>0.150812064965197</v>
      </c>
      <c r="I8" s="38" t="n">
        <v>3</v>
      </c>
    </row>
    <row r="9" customFormat="false" ht="15" hidden="false" customHeight="false" outlineLevel="0" collapsed="false">
      <c r="B9" s="69" t="s">
        <v>450</v>
      </c>
      <c r="C9" s="32" t="s">
        <v>451</v>
      </c>
      <c r="D9" s="32" t="s">
        <v>443</v>
      </c>
      <c r="E9" s="32" t="s">
        <v>452</v>
      </c>
      <c r="F9" s="32" t="s">
        <v>449</v>
      </c>
      <c r="G9" s="17" t="n">
        <v>42000</v>
      </c>
      <c r="H9" s="31" t="n">
        <f aca="false">IFERROR(G9/G15,0)</f>
        <v>0.0974477958236659</v>
      </c>
      <c r="I9" s="38" t="n">
        <v>3</v>
      </c>
    </row>
    <row r="10" customFormat="false" ht="15" hidden="false" customHeight="false" outlineLevel="0" collapsed="false">
      <c r="B10" s="69" t="s">
        <v>453</v>
      </c>
      <c r="C10" s="32" t="s">
        <v>454</v>
      </c>
      <c r="D10" s="32" t="s">
        <v>443</v>
      </c>
      <c r="E10" s="32" t="s">
        <v>448</v>
      </c>
      <c r="F10" s="32" t="s">
        <v>449</v>
      </c>
      <c r="G10" s="17" t="n">
        <v>18000</v>
      </c>
      <c r="H10" s="31" t="n">
        <f aca="false">IFERROR(G10/G15,0)</f>
        <v>0.0417633410672854</v>
      </c>
      <c r="I10" s="38" t="n">
        <v>1</v>
      </c>
    </row>
    <row r="11" customFormat="false" ht="15" hidden="false" customHeight="false" outlineLevel="0" collapsed="false">
      <c r="B11" s="69" t="s">
        <v>455</v>
      </c>
      <c r="C11" s="32" t="s">
        <v>456</v>
      </c>
      <c r="D11" s="32" t="s">
        <v>457</v>
      </c>
      <c r="E11" s="32" t="s">
        <v>458</v>
      </c>
      <c r="F11" s="32" t="s">
        <v>459</v>
      </c>
      <c r="G11" s="17" t="n">
        <v>120000</v>
      </c>
      <c r="H11" s="31" t="n">
        <f aca="false">IFERROR(G11/G15,0)</f>
        <v>0.278422273781903</v>
      </c>
      <c r="I11" s="38" t="n">
        <v>5</v>
      </c>
    </row>
    <row r="12" customFormat="false" ht="15" hidden="false" customHeight="false" outlineLevel="0" collapsed="false">
      <c r="B12" s="69" t="s">
        <v>460</v>
      </c>
      <c r="C12" s="32" t="s">
        <v>461</v>
      </c>
      <c r="D12" s="32" t="s">
        <v>443</v>
      </c>
      <c r="E12" s="32" t="s">
        <v>462</v>
      </c>
      <c r="F12" s="32" t="s">
        <v>463</v>
      </c>
      <c r="G12" s="17" t="n">
        <v>35000</v>
      </c>
      <c r="H12" s="31" t="n">
        <f aca="false">IFERROR(G12/G15,0)</f>
        <v>0.0812064965197216</v>
      </c>
      <c r="I12" s="38" t="n">
        <v>1</v>
      </c>
    </row>
    <row r="13" customFormat="false" ht="15" hidden="false" customHeight="false" outlineLevel="0" collapsed="false">
      <c r="B13" s="69" t="s">
        <v>464</v>
      </c>
      <c r="C13" s="32" t="s">
        <v>461</v>
      </c>
      <c r="D13" s="32" t="s">
        <v>443</v>
      </c>
      <c r="E13" s="32" t="s">
        <v>462</v>
      </c>
      <c r="F13" s="32" t="s">
        <v>465</v>
      </c>
      <c r="G13" s="17" t="n">
        <v>28000</v>
      </c>
      <c r="H13" s="31" t="n">
        <f aca="false">IFERROR(G13/G15,0)</f>
        <v>0.0649651972157773</v>
      </c>
      <c r="I13" s="38" t="n">
        <v>1</v>
      </c>
    </row>
    <row r="14" customFormat="false" ht="15" hidden="false" customHeight="false" outlineLevel="0" collapsed="false">
      <c r="B14" s="69" t="s">
        <v>466</v>
      </c>
      <c r="C14" s="32" t="s">
        <v>467</v>
      </c>
      <c r="D14" s="32" t="s">
        <v>443</v>
      </c>
      <c r="E14" s="32" t="s">
        <v>468</v>
      </c>
      <c r="F14" s="32" t="s">
        <v>444</v>
      </c>
      <c r="G14" s="17" t="n">
        <v>98000</v>
      </c>
      <c r="H14" s="31" t="n">
        <f aca="false">IFERROR(G14/G15,0)</f>
        <v>0.22737819025522</v>
      </c>
      <c r="I14" s="38" t="n">
        <v>90</v>
      </c>
    </row>
    <row r="15" customFormat="false" ht="15" hidden="false" customHeight="false" outlineLevel="0" collapsed="false">
      <c r="B15" s="19" t="s">
        <v>469</v>
      </c>
      <c r="C15" s="36"/>
      <c r="D15" s="36"/>
      <c r="E15" s="36"/>
      <c r="F15" s="36"/>
      <c r="G15" s="20" t="n">
        <f aca="false">SUM(G7:G14)</f>
        <v>431000</v>
      </c>
      <c r="H15" s="36"/>
      <c r="I15" s="36"/>
    </row>
    <row r="17" customFormat="false" ht="19.5" hidden="false" customHeight="true" outlineLevel="0" collapsed="false">
      <c r="B17" s="21" t="s">
        <v>470</v>
      </c>
      <c r="C17" s="21"/>
      <c r="D17" s="21"/>
      <c r="E17" s="21"/>
      <c r="F17" s="21"/>
      <c r="G17" s="21"/>
      <c r="H17" s="21"/>
      <c r="I17" s="21"/>
    </row>
    <row r="18" customFormat="false" ht="15" hidden="false" customHeight="false" outlineLevel="0" collapsed="false">
      <c r="B18" s="15" t="s">
        <v>436</v>
      </c>
      <c r="C18" s="15" t="s">
        <v>471</v>
      </c>
      <c r="D18" s="15" t="s">
        <v>472</v>
      </c>
    </row>
    <row r="19" customFormat="false" ht="15" hidden="false" customHeight="false" outlineLevel="0" collapsed="false">
      <c r="B19" s="16" t="s">
        <v>444</v>
      </c>
      <c r="C19" s="26" t="n">
        <f aca="false">SUMIF($E$7:$E$14,B19,$G$7:$G$14)</f>
        <v>25000</v>
      </c>
      <c r="D19" s="31" t="n">
        <f aca="false">IFERROR(C19/G15,0)</f>
        <v>0.0580046403712297</v>
      </c>
    </row>
    <row r="20" customFormat="false" ht="15" hidden="false" customHeight="false" outlineLevel="0" collapsed="false">
      <c r="B20" s="16" t="s">
        <v>448</v>
      </c>
      <c r="C20" s="26" t="n">
        <f aca="false">SUMIF($E$7:$E$14,B20,$G$7:$G$14)</f>
        <v>83000</v>
      </c>
      <c r="D20" s="31" t="n">
        <f aca="false">IFERROR(C20/G15,0)</f>
        <v>0.192575406032483</v>
      </c>
    </row>
    <row r="21" customFormat="false" ht="15" hidden="false" customHeight="false" outlineLevel="0" collapsed="false">
      <c r="B21" s="16" t="s">
        <v>452</v>
      </c>
      <c r="C21" s="26" t="n">
        <f aca="false">SUMIF($E$7:$E$14,B21,$G$7:$G$14)</f>
        <v>42000</v>
      </c>
      <c r="D21" s="31" t="n">
        <f aca="false">IFERROR(C21/G15,0)</f>
        <v>0.0974477958236659</v>
      </c>
    </row>
    <row r="22" customFormat="false" ht="15" hidden="false" customHeight="false" outlineLevel="0" collapsed="false">
      <c r="B22" s="16" t="s">
        <v>462</v>
      </c>
      <c r="C22" s="26" t="n">
        <f aca="false">SUMIF($E$7:$E$14,B22,$G$7:$G$14)</f>
        <v>63000</v>
      </c>
      <c r="D22" s="31" t="n">
        <f aca="false">IFERROR(C22/G15,0)</f>
        <v>0.146171693735499</v>
      </c>
    </row>
    <row r="23" customFormat="false" ht="15" hidden="false" customHeight="false" outlineLevel="0" collapsed="false">
      <c r="B23" s="16" t="s">
        <v>458</v>
      </c>
      <c r="C23" s="26" t="n">
        <f aca="false">SUMIF($E$7:$E$14,B23,$G$7:$G$14)</f>
        <v>120000</v>
      </c>
      <c r="D23" s="31" t="n">
        <f aca="false">IFERROR(C23/G15,0)</f>
        <v>0.278422273781903</v>
      </c>
    </row>
    <row r="24" customFormat="false" ht="15" hidden="false" customHeight="false" outlineLevel="0" collapsed="false">
      <c r="B24" s="16" t="s">
        <v>468</v>
      </c>
      <c r="C24" s="26" t="n">
        <f aca="false">SUMIF($E$7:$E$14,B24,$G$7:$G$14)</f>
        <v>98000</v>
      </c>
      <c r="D24" s="31" t="n">
        <f aca="false">IFERROR(C24/G15,0)</f>
        <v>0.22737819025522</v>
      </c>
    </row>
    <row r="26" customFormat="false" ht="19.5" hidden="false" customHeight="true" outlineLevel="0" collapsed="false">
      <c r="B26" s="8" t="s">
        <v>473</v>
      </c>
      <c r="C26" s="8"/>
      <c r="D26" s="8"/>
      <c r="E26" s="8"/>
      <c r="F26" s="8"/>
      <c r="G26" s="8"/>
      <c r="H26" s="8"/>
      <c r="I26" s="8"/>
    </row>
    <row r="27" customFormat="false" ht="15" hidden="false" customHeight="false" outlineLevel="0" collapsed="false">
      <c r="B27" s="15" t="s">
        <v>474</v>
      </c>
      <c r="C27" s="15" t="s">
        <v>471</v>
      </c>
      <c r="D27" s="15" t="s">
        <v>472</v>
      </c>
    </row>
    <row r="28" customFormat="false" ht="15" hidden="false" customHeight="false" outlineLevel="0" collapsed="false">
      <c r="B28" s="16" t="s">
        <v>475</v>
      </c>
      <c r="C28" s="26" t="n">
        <f aca="false">SUMIF($I$7:$I$14,"&lt;=3",$G$7:$G$14)</f>
        <v>213000</v>
      </c>
      <c r="D28" s="31" t="n">
        <f aca="false">IFERROR(C28/G15,0)</f>
        <v>0.494199535962877</v>
      </c>
    </row>
    <row r="29" customFormat="false" ht="15" hidden="false" customHeight="false" outlineLevel="0" collapsed="false">
      <c r="B29" s="16" t="s">
        <v>476</v>
      </c>
      <c r="C29" s="26" t="n">
        <f aca="false">SUMIFS($G$7:$G$14,$I$7:$I$14,"&gt;3",$I$7:$I$14,"&lt;=30")</f>
        <v>120000</v>
      </c>
      <c r="D29" s="31" t="n">
        <f aca="false">IFERROR(C29/G15,0)</f>
        <v>0.278422273781903</v>
      </c>
    </row>
    <row r="30" customFormat="false" ht="15" hidden="false" customHeight="false" outlineLevel="0" collapsed="false">
      <c r="B30" s="16" t="s">
        <v>477</v>
      </c>
      <c r="C30" s="26" t="n">
        <f aca="false">SUMIF($I$7:$I$14,"&gt;30",$G$7:$G$14)</f>
        <v>98000</v>
      </c>
      <c r="D30" s="31" t="n">
        <f aca="false">IFERROR(C30/G15,0)</f>
        <v>0.22737819025522</v>
      </c>
    </row>
    <row r="50" customFormat="false" ht="60" hidden="false" customHeight="true" outlineLevel="0" collapsed="false">
      <c r="B50" s="37" t="s">
        <v>478</v>
      </c>
      <c r="C50" s="37"/>
      <c r="D50" s="37"/>
      <c r="E50" s="37"/>
      <c r="F50" s="37"/>
      <c r="G50" s="37"/>
      <c r="H50" s="37"/>
      <c r="I50" s="37"/>
    </row>
  </sheetData>
  <mergeCells count="6">
    <mergeCell ref="B2:I2"/>
    <mergeCell ref="B3:I3"/>
    <mergeCell ref="B5:I5"/>
    <mergeCell ref="B17:I17"/>
    <mergeCell ref="B26:I26"/>
    <mergeCell ref="B50:I5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6" min="3" style="0" width="15"/>
  </cols>
  <sheetData>
    <row r="2" customFormat="false" ht="27.75" hidden="false" customHeight="true" outlineLevel="0" collapsed="false">
      <c r="B2" s="11" t="s">
        <v>479</v>
      </c>
      <c r="C2" s="11"/>
      <c r="D2" s="11"/>
      <c r="E2" s="11"/>
      <c r="F2" s="11"/>
    </row>
    <row r="3" customFormat="false" ht="15" hidden="false" customHeight="false" outlineLevel="0" collapsed="false">
      <c r="B3" s="12" t="s">
        <v>480</v>
      </c>
      <c r="C3" s="12"/>
      <c r="D3" s="12"/>
      <c r="E3" s="12"/>
      <c r="F3" s="12"/>
    </row>
    <row r="5" customFormat="false" ht="19.5" hidden="false" customHeight="true" outlineLevel="0" collapsed="false">
      <c r="B5" s="13" t="s">
        <v>481</v>
      </c>
      <c r="C5" s="13"/>
      <c r="D5" s="13"/>
      <c r="E5" s="13"/>
      <c r="F5" s="13"/>
    </row>
    <row r="6" customFormat="false" ht="22.35" hidden="false" customHeight="true" outlineLevel="0" collapsed="false">
      <c r="B6" s="22" t="s">
        <v>482</v>
      </c>
      <c r="C6" s="70" t="s">
        <v>483</v>
      </c>
      <c r="D6" s="70"/>
      <c r="E6" s="37" t="s">
        <v>484</v>
      </c>
      <c r="F6" s="37"/>
    </row>
    <row r="8" customFormat="false" ht="19.5" hidden="false" customHeight="true" outlineLevel="0" collapsed="false">
      <c r="B8" s="21" t="s">
        <v>485</v>
      </c>
      <c r="C8" s="21"/>
      <c r="D8" s="21"/>
      <c r="E8" s="21"/>
      <c r="F8" s="21"/>
    </row>
    <row r="9" customFormat="false" ht="15" hidden="false" customHeight="false" outlineLevel="0" collapsed="false">
      <c r="B9" s="15" t="s">
        <v>486</v>
      </c>
      <c r="C9" s="15" t="s">
        <v>487</v>
      </c>
      <c r="D9" s="15" t="s">
        <v>483</v>
      </c>
      <c r="E9" s="15" t="s">
        <v>488</v>
      </c>
      <c r="F9" s="15" t="s">
        <v>489</v>
      </c>
    </row>
    <row r="10" customFormat="false" ht="15" hidden="false" customHeight="false" outlineLevel="0" collapsed="false">
      <c r="B10" s="16" t="s">
        <v>490</v>
      </c>
      <c r="C10" s="39" t="n">
        <v>0.02</v>
      </c>
      <c r="D10" s="39" t="n">
        <v>0.15</v>
      </c>
      <c r="E10" s="39" t="n">
        <v>0.3</v>
      </c>
      <c r="F10" s="54" t="n">
        <f aca="false">IF($C$6="Bear",C10,IF($C$6="Bull",E10,D10))</f>
        <v>0.15</v>
      </c>
    </row>
    <row r="11" customFormat="false" ht="15" hidden="false" customHeight="false" outlineLevel="0" collapsed="false">
      <c r="B11" s="16" t="s">
        <v>491</v>
      </c>
      <c r="C11" s="39" t="n">
        <v>0</v>
      </c>
      <c r="D11" s="39" t="n">
        <v>0.15</v>
      </c>
      <c r="E11" s="39" t="n">
        <v>0.35</v>
      </c>
      <c r="F11" s="54" t="n">
        <f aca="false">IF($C$6="Bear",C11,IF($C$6="Bull",E11,D11))</f>
        <v>0.15</v>
      </c>
    </row>
    <row r="12" customFormat="false" ht="15" hidden="false" customHeight="false" outlineLevel="0" collapsed="false">
      <c r="B12" s="16" t="s">
        <v>492</v>
      </c>
      <c r="C12" s="39" t="n">
        <v>0.28</v>
      </c>
      <c r="D12" s="39" t="n">
        <v>0.22</v>
      </c>
      <c r="E12" s="39" t="n">
        <v>0.18</v>
      </c>
      <c r="F12" s="54" t="n">
        <f aca="false">IF($C$6="Bear",C12,IF($C$6="Bull",E12,D12))</f>
        <v>0.22</v>
      </c>
    </row>
    <row r="13" customFormat="false" ht="15" hidden="false" customHeight="false" outlineLevel="0" collapsed="false">
      <c r="B13" s="16" t="s">
        <v>493</v>
      </c>
      <c r="C13" s="39" t="n">
        <v>0.27</v>
      </c>
      <c r="D13" s="39" t="n">
        <v>0.2</v>
      </c>
      <c r="E13" s="39" t="n">
        <v>0.16</v>
      </c>
      <c r="F13" s="54" t="n">
        <f aca="false">IF($C$6="Bear",C13,IF($C$6="Bull",E13,D13))</f>
        <v>0.2</v>
      </c>
    </row>
    <row r="14" customFormat="false" ht="15" hidden="false" customHeight="false" outlineLevel="0" collapsed="false">
      <c r="B14" s="16" t="s">
        <v>494</v>
      </c>
      <c r="C14" s="39" t="n">
        <v>0.26</v>
      </c>
      <c r="D14" s="39" t="n">
        <v>0.18</v>
      </c>
      <c r="E14" s="39" t="n">
        <v>0.14</v>
      </c>
      <c r="F14" s="54" t="n">
        <f aca="false">IF($C$6="Bear",C14,IF($C$6="Bull",E14,D14))</f>
        <v>0.18</v>
      </c>
    </row>
    <row r="15" customFormat="false" ht="15" hidden="false" customHeight="false" outlineLevel="0" collapsed="false">
      <c r="B15" s="16" t="s">
        <v>495</v>
      </c>
      <c r="C15" s="17" t="n">
        <v>9000</v>
      </c>
      <c r="D15" s="17" t="n">
        <v>18000</v>
      </c>
      <c r="E15" s="17" t="n">
        <v>28000</v>
      </c>
      <c r="F15" s="18" t="n">
        <f aca="false">IF($C$6="Bear",C15,IF($C$6="Bull",E15,D15))</f>
        <v>18000</v>
      </c>
    </row>
    <row r="16" customFormat="false" ht="15" hidden="false" customHeight="false" outlineLevel="0" collapsed="false">
      <c r="B16" s="16" t="s">
        <v>496</v>
      </c>
      <c r="C16" s="17" t="n">
        <v>6000</v>
      </c>
      <c r="D16" s="17" t="n">
        <v>24000</v>
      </c>
      <c r="E16" s="17" t="n">
        <v>40000</v>
      </c>
      <c r="F16" s="18" t="n">
        <f aca="false">IF($C$6="Bear",C16,IF($C$6="Bull",E16,D16))</f>
        <v>24000</v>
      </c>
    </row>
    <row r="17" customFormat="false" ht="15" hidden="false" customHeight="false" outlineLevel="0" collapsed="false">
      <c r="B17" s="16" t="s">
        <v>497</v>
      </c>
      <c r="C17" s="39" t="n">
        <v>0.27</v>
      </c>
      <c r="D17" s="39" t="n">
        <v>0.24</v>
      </c>
      <c r="E17" s="39" t="n">
        <v>0.21</v>
      </c>
      <c r="F17" s="54" t="n">
        <f aca="false">IF($C$6="Bear",C17,IF($C$6="Bull",E17,D17))</f>
        <v>0.24</v>
      </c>
    </row>
    <row r="19" customFormat="false" ht="19.5" hidden="false" customHeight="true" outlineLevel="0" collapsed="false">
      <c r="B19" s="8" t="s">
        <v>498</v>
      </c>
      <c r="C19" s="8"/>
      <c r="D19" s="8"/>
      <c r="E19" s="8"/>
      <c r="F19" s="8"/>
    </row>
    <row r="20" customFormat="false" ht="15" hidden="false" customHeight="false" outlineLevel="0" collapsed="false">
      <c r="B20" s="22" t="s">
        <v>353</v>
      </c>
      <c r="C20" s="15" t="s">
        <v>355</v>
      </c>
      <c r="D20" s="15" t="s">
        <v>356</v>
      </c>
      <c r="E20" s="15" t="s">
        <v>357</v>
      </c>
    </row>
    <row r="21" customFormat="false" ht="15" hidden="false" customHeight="false" outlineLevel="0" collapsed="false">
      <c r="B21" s="22" t="s">
        <v>345</v>
      </c>
      <c r="C21" s="17" t="n">
        <v>180000</v>
      </c>
      <c r="D21" s="18" t="n">
        <f aca="false">C21*(1+F10)</f>
        <v>207000</v>
      </c>
      <c r="E21" s="18" t="n">
        <f aca="false">D21*(1+F11)</f>
        <v>238050</v>
      </c>
    </row>
    <row r="22" customFormat="false" ht="15" hidden="false" customHeight="false" outlineLevel="0" collapsed="false">
      <c r="B22" s="16" t="s">
        <v>499</v>
      </c>
      <c r="C22" s="26" t="n">
        <f aca="false">C21*F12</f>
        <v>39600</v>
      </c>
      <c r="D22" s="26" t="n">
        <f aca="false">D21*F13</f>
        <v>41400</v>
      </c>
      <c r="E22" s="26" t="n">
        <f aca="false">E21*F14</f>
        <v>42849</v>
      </c>
    </row>
    <row r="23" customFormat="false" ht="15" hidden="false" customHeight="false" outlineLevel="0" collapsed="false">
      <c r="B23" s="22" t="s">
        <v>360</v>
      </c>
      <c r="C23" s="18" t="n">
        <f aca="false">C21-C22</f>
        <v>140400</v>
      </c>
      <c r="D23" s="18" t="n">
        <f aca="false">D21-D22</f>
        <v>165600</v>
      </c>
      <c r="E23" s="18" t="n">
        <f aca="false">E21-E22</f>
        <v>195201</v>
      </c>
    </row>
    <row r="24" customFormat="false" ht="15" hidden="false" customHeight="false" outlineLevel="0" collapsed="false">
      <c r="B24" s="16" t="s">
        <v>500</v>
      </c>
      <c r="C24" s="17" t="n">
        <v>75600</v>
      </c>
      <c r="D24" s="17" t="n">
        <v>93000</v>
      </c>
      <c r="E24" s="17" t="n">
        <v>110400</v>
      </c>
    </row>
    <row r="25" customFormat="false" ht="15" hidden="false" customHeight="false" outlineLevel="0" collapsed="false">
      <c r="B25" s="16" t="s">
        <v>501</v>
      </c>
      <c r="C25" s="17" t="n">
        <v>12000</v>
      </c>
      <c r="D25" s="26" t="n">
        <f aca="false">F15</f>
        <v>18000</v>
      </c>
      <c r="E25" s="26" t="n">
        <f aca="false">F16</f>
        <v>24000</v>
      </c>
    </row>
    <row r="26" customFormat="false" ht="15" hidden="false" customHeight="false" outlineLevel="0" collapsed="false">
      <c r="B26" s="60" t="s">
        <v>367</v>
      </c>
      <c r="C26" s="20" t="n">
        <f aca="false">C23-C24-C25</f>
        <v>52800</v>
      </c>
      <c r="D26" s="20" t="n">
        <f aca="false">D23-D24-D25</f>
        <v>54600</v>
      </c>
      <c r="E26" s="20" t="n">
        <f aca="false">E23-E24-E25</f>
        <v>60800.9999999999</v>
      </c>
    </row>
    <row r="27" customFormat="false" ht="15" hidden="false" customHeight="false" outlineLevel="0" collapsed="false">
      <c r="B27" s="30" t="s">
        <v>502</v>
      </c>
      <c r="C27" s="31" t="n">
        <f aca="false">IFERROR(C26/C21,0)</f>
        <v>0.293333333333333</v>
      </c>
      <c r="D27" s="31" t="n">
        <f aca="false">IFERROR(D26/D21,0)</f>
        <v>0.263768115942029</v>
      </c>
      <c r="E27" s="31" t="n">
        <f aca="false">IFERROR(E26/E21,0)</f>
        <v>0.255412728418399</v>
      </c>
    </row>
    <row r="28" customFormat="false" ht="15" hidden="false" customHeight="false" outlineLevel="0" collapsed="false">
      <c r="B28" s="16" t="s">
        <v>503</v>
      </c>
      <c r="C28" s="26" t="n">
        <f aca="false">MAX(C26,0)*$F$17</f>
        <v>12672</v>
      </c>
      <c r="D28" s="26" t="n">
        <f aca="false">MAX(D26,0)*$F$17</f>
        <v>13104</v>
      </c>
      <c r="E28" s="26" t="n">
        <f aca="false">MAX(E26,0)*$F$17</f>
        <v>14592.24</v>
      </c>
    </row>
    <row r="29" customFormat="false" ht="15" hidden="false" customHeight="false" outlineLevel="0" collapsed="false">
      <c r="B29" s="64" t="s">
        <v>504</v>
      </c>
      <c r="C29" s="29" t="n">
        <f aca="false">C26-C28</f>
        <v>40128</v>
      </c>
      <c r="D29" s="29" t="n">
        <f aca="false">D26-D28</f>
        <v>41496</v>
      </c>
      <c r="E29" s="29" t="n">
        <f aca="false">E26-E28</f>
        <v>46208.76</v>
      </c>
    </row>
    <row r="31" customFormat="false" ht="19.5" hidden="false" customHeight="true" outlineLevel="0" collapsed="false">
      <c r="B31" s="21" t="s">
        <v>505</v>
      </c>
      <c r="C31" s="21"/>
      <c r="D31" s="21"/>
      <c r="E31" s="21"/>
      <c r="F31" s="21"/>
    </row>
    <row r="32" customFormat="false" ht="23.85" hidden="false" customHeight="false" outlineLevel="0" collapsed="false">
      <c r="B32" s="15" t="s">
        <v>506</v>
      </c>
      <c r="C32" s="15" t="s">
        <v>507</v>
      </c>
      <c r="D32" s="15" t="s">
        <v>508</v>
      </c>
      <c r="E32" s="15" t="s">
        <v>509</v>
      </c>
    </row>
    <row r="33" customFormat="false" ht="15" hidden="false" customHeight="false" outlineLevel="0" collapsed="false">
      <c r="B33" s="22" t="s">
        <v>487</v>
      </c>
      <c r="C33" s="26" t="n">
        <f aca="false">C21*(1+C10)*(1+C11)</f>
        <v>183600</v>
      </c>
      <c r="D33" s="31" t="n">
        <f aca="false">IFERROR((C33*(1-C14)-E24-C16)/C33,0)</f>
        <v>0.106013071895425</v>
      </c>
      <c r="E33" s="18" t="n">
        <f aca="false">(C33*(1-C14)-E24-C16)*(1-C17)</f>
        <v>14208.72</v>
      </c>
    </row>
    <row r="34" customFormat="false" ht="15" hidden="false" customHeight="false" outlineLevel="0" collapsed="false">
      <c r="B34" s="22" t="s">
        <v>483</v>
      </c>
      <c r="C34" s="26" t="n">
        <f aca="false">C21*(1+D10)*(1+D11)</f>
        <v>238050</v>
      </c>
      <c r="D34" s="31" t="n">
        <f aca="false">IFERROR((C34*(1-D14)-E24-D16)/C34,0)</f>
        <v>0.255412728418399</v>
      </c>
      <c r="E34" s="18" t="n">
        <f aca="false">(C34*(1-D14)-E24-D16)*(1-D17)</f>
        <v>46208.76</v>
      </c>
    </row>
    <row r="35" customFormat="false" ht="15" hidden="false" customHeight="false" outlineLevel="0" collapsed="false">
      <c r="B35" s="22" t="s">
        <v>488</v>
      </c>
      <c r="C35" s="26" t="n">
        <f aca="false">C21*(1+E10)*(1+E11)</f>
        <v>315900</v>
      </c>
      <c r="D35" s="31" t="n">
        <f aca="false">IFERROR((C35*(1-E14)-E24-E16)/C35,0)</f>
        <v>0.383899968344413</v>
      </c>
      <c r="E35" s="18" t="n">
        <f aca="false">(C35*(1-E14)-E24-E16)*(1-E17)</f>
        <v>95806.46</v>
      </c>
    </row>
    <row r="51" customFormat="false" ht="69.75" hidden="false" customHeight="true" outlineLevel="0" collapsed="false">
      <c r="B51" s="37" t="s">
        <v>510</v>
      </c>
      <c r="C51" s="37"/>
      <c r="D51" s="37"/>
      <c r="E51" s="37"/>
      <c r="F51" s="37"/>
    </row>
  </sheetData>
  <mergeCells count="9">
    <mergeCell ref="B2:F2"/>
    <mergeCell ref="B3:F3"/>
    <mergeCell ref="B5:F5"/>
    <mergeCell ref="C6:D6"/>
    <mergeCell ref="E6:F6"/>
    <mergeCell ref="B8:F8"/>
    <mergeCell ref="B19:F19"/>
    <mergeCell ref="B31:F31"/>
    <mergeCell ref="B51:F51"/>
  </mergeCells>
  <dataValidations count="1">
    <dataValidation allowBlank="false" errorStyle="stop" operator="between" showDropDown="false" showErrorMessage="false" showInputMessage="false" sqref="C6" type="list">
      <formula1>"Bear,Base,Bull"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8" min="3" style="0" width="16"/>
  </cols>
  <sheetData>
    <row r="2" customFormat="false" ht="27.75" hidden="false" customHeight="true" outlineLevel="0" collapsed="false">
      <c r="B2" s="11" t="s">
        <v>511</v>
      </c>
      <c r="C2" s="11"/>
      <c r="D2" s="11"/>
      <c r="E2" s="11"/>
      <c r="F2" s="11"/>
      <c r="G2" s="11"/>
      <c r="H2" s="11"/>
    </row>
    <row r="3" customFormat="false" ht="15" hidden="false" customHeight="false" outlineLevel="0" collapsed="false">
      <c r="B3" s="12" t="s">
        <v>34</v>
      </c>
      <c r="C3" s="12"/>
      <c r="D3" s="12"/>
      <c r="E3" s="12"/>
      <c r="F3" s="12"/>
      <c r="G3" s="12"/>
      <c r="H3" s="12"/>
    </row>
    <row r="5" customFormat="false" ht="19.5" hidden="false" customHeight="true" outlineLevel="0" collapsed="false">
      <c r="B5" s="13" t="s">
        <v>512</v>
      </c>
      <c r="C5" s="13"/>
      <c r="D5" s="13"/>
      <c r="E5" s="13"/>
      <c r="F5" s="13"/>
      <c r="G5" s="13"/>
      <c r="H5" s="13"/>
    </row>
    <row r="6" customFormat="false" ht="15" hidden="false" customHeight="false" outlineLevel="0" collapsed="false">
      <c r="B6" s="16" t="s">
        <v>513</v>
      </c>
      <c r="C6" s="17" t="n">
        <v>48000</v>
      </c>
    </row>
    <row r="7" customFormat="false" ht="15" hidden="false" customHeight="false" outlineLevel="0" collapsed="false">
      <c r="B7" s="16" t="s">
        <v>514</v>
      </c>
      <c r="C7" s="39" t="n">
        <v>0.12</v>
      </c>
    </row>
    <row r="8" customFormat="false" ht="15" hidden="false" customHeight="false" outlineLevel="0" collapsed="false">
      <c r="B8" s="16" t="s">
        <v>515</v>
      </c>
      <c r="C8" s="39" t="n">
        <v>0.025</v>
      </c>
    </row>
    <row r="9" customFormat="false" ht="15" hidden="false" customHeight="false" outlineLevel="0" collapsed="false">
      <c r="B9" s="16" t="s">
        <v>516</v>
      </c>
      <c r="C9" s="39" t="n">
        <v>0.14</v>
      </c>
    </row>
    <row r="11" customFormat="false" ht="19.5" hidden="false" customHeight="true" outlineLevel="0" collapsed="false">
      <c r="B11" s="21" t="s">
        <v>517</v>
      </c>
      <c r="C11" s="21"/>
      <c r="D11" s="21"/>
      <c r="E11" s="21"/>
      <c r="F11" s="21"/>
      <c r="G11" s="21"/>
      <c r="H11" s="21"/>
    </row>
    <row r="12" customFormat="false" ht="15" hidden="false" customHeight="false" outlineLevel="0" collapsed="false">
      <c r="B12" s="15" t="s">
        <v>157</v>
      </c>
      <c r="C12" s="15" t="s">
        <v>518</v>
      </c>
      <c r="D12" s="15" t="s">
        <v>519</v>
      </c>
      <c r="E12" s="15" t="s">
        <v>520</v>
      </c>
    </row>
    <row r="13" customFormat="false" ht="15" hidden="false" customHeight="false" outlineLevel="0" collapsed="false">
      <c r="B13" s="34" t="n">
        <v>1</v>
      </c>
      <c r="C13" s="26" t="n">
        <f aca="false">$C$6*(1+$C$7)</f>
        <v>53760</v>
      </c>
      <c r="D13" s="71" t="n">
        <f aca="false">1/(1+$C$9)^B13</f>
        <v>0.87719298245614</v>
      </c>
      <c r="E13" s="18" t="n">
        <f aca="false">C13*D13</f>
        <v>47157.8947368421</v>
      </c>
    </row>
    <row r="14" customFormat="false" ht="15" hidden="false" customHeight="false" outlineLevel="0" collapsed="false">
      <c r="B14" s="34" t="n">
        <v>2</v>
      </c>
      <c r="C14" s="26" t="n">
        <f aca="false">C13*(1+$C$7)</f>
        <v>60211.2</v>
      </c>
      <c r="D14" s="71" t="n">
        <f aca="false">1/(1+$C$9)^B14</f>
        <v>0.769467528470298</v>
      </c>
      <c r="E14" s="18" t="n">
        <f aca="false">C14*D14</f>
        <v>46330.5632502308</v>
      </c>
    </row>
    <row r="15" customFormat="false" ht="15" hidden="false" customHeight="false" outlineLevel="0" collapsed="false">
      <c r="B15" s="34" t="n">
        <v>3</v>
      </c>
      <c r="C15" s="26" t="n">
        <f aca="false">C14*(1+$C$7)</f>
        <v>67436.544</v>
      </c>
      <c r="D15" s="71" t="n">
        <f aca="false">1/(1+$C$9)^B15</f>
        <v>0.674971516202016</v>
      </c>
      <c r="E15" s="18" t="n">
        <f aca="false">C15*D15</f>
        <v>45517.746351104</v>
      </c>
    </row>
    <row r="16" customFormat="false" ht="15" hidden="false" customHeight="false" outlineLevel="0" collapsed="false">
      <c r="B16" s="34" t="n">
        <v>4</v>
      </c>
      <c r="C16" s="26" t="n">
        <f aca="false">C15*(1+$C$7)</f>
        <v>75528.92928</v>
      </c>
      <c r="D16" s="71" t="n">
        <f aca="false">1/(1+$C$9)^B16</f>
        <v>0.592080277370189</v>
      </c>
      <c r="E16" s="18" t="n">
        <f aca="false">C16*D16</f>
        <v>44719.1893975758</v>
      </c>
    </row>
    <row r="17" customFormat="false" ht="15" hidden="false" customHeight="false" outlineLevel="0" collapsed="false">
      <c r="B17" s="34" t="n">
        <v>5</v>
      </c>
      <c r="C17" s="26" t="n">
        <f aca="false">C16*(1+$C$7)</f>
        <v>84592.4007936001</v>
      </c>
      <c r="D17" s="71" t="n">
        <f aca="false">1/(1+$C$9)^B17</f>
        <v>0.519368664359815</v>
      </c>
      <c r="E17" s="18" t="n">
        <f aca="false">C17*D17</f>
        <v>43934.6422151622</v>
      </c>
    </row>
    <row r="18" customFormat="false" ht="15" hidden="false" customHeight="false" outlineLevel="0" collapsed="false">
      <c r="B18" s="22" t="s">
        <v>521</v>
      </c>
      <c r="E18" s="18" t="n">
        <f aca="false">SUM(E13:E17)</f>
        <v>227660.035950915</v>
      </c>
    </row>
    <row r="19" customFormat="false" ht="15" hidden="false" customHeight="false" outlineLevel="0" collapsed="false">
      <c r="B19" s="16" t="s">
        <v>522</v>
      </c>
      <c r="E19" s="26" t="n">
        <f aca="false">(C17*(1+$C$8))/($C$9-$C$8)</f>
        <v>753975.746203826</v>
      </c>
    </row>
    <row r="20" customFormat="false" ht="15" hidden="false" customHeight="false" outlineLevel="0" collapsed="false">
      <c r="B20" s="16" t="s">
        <v>523</v>
      </c>
      <c r="E20" s="26" t="n">
        <f aca="false">E19*D17</f>
        <v>391591.376265576</v>
      </c>
    </row>
    <row r="21" customFormat="false" ht="15" hidden="false" customHeight="false" outlineLevel="0" collapsed="false">
      <c r="B21" s="64" t="s">
        <v>524</v>
      </c>
      <c r="C21" s="45"/>
      <c r="D21" s="45"/>
      <c r="E21" s="29" t="n">
        <f aca="false">E18+E20</f>
        <v>619251.412216491</v>
      </c>
      <c r="F21" s="45"/>
      <c r="G21" s="45"/>
      <c r="H21" s="45"/>
    </row>
    <row r="22" customFormat="false" ht="15" hidden="false" customHeight="false" outlineLevel="0" collapsed="false">
      <c r="B22" s="16" t="s">
        <v>525</v>
      </c>
      <c r="E22" s="17" t="n">
        <v>-8000</v>
      </c>
    </row>
    <row r="23" customFormat="false" ht="15" hidden="false" customHeight="false" outlineLevel="0" collapsed="false">
      <c r="B23" s="64" t="s">
        <v>526</v>
      </c>
      <c r="C23" s="45"/>
      <c r="D23" s="45"/>
      <c r="E23" s="29" t="n">
        <f aca="false">E21+E22</f>
        <v>611251.412216491</v>
      </c>
      <c r="F23" s="45"/>
      <c r="G23" s="45"/>
      <c r="H23" s="45"/>
    </row>
    <row r="25" customFormat="false" ht="19.5" hidden="false" customHeight="true" outlineLevel="0" collapsed="false">
      <c r="B25" s="8" t="s">
        <v>527</v>
      </c>
      <c r="C25" s="8"/>
      <c r="D25" s="8"/>
      <c r="E25" s="8"/>
      <c r="F25" s="8"/>
      <c r="G25" s="8"/>
      <c r="H25" s="8"/>
    </row>
    <row r="26" customFormat="false" ht="23.85" hidden="false" customHeight="false" outlineLevel="0" collapsed="false">
      <c r="B26" s="15" t="s">
        <v>528</v>
      </c>
      <c r="C26" s="15" t="s">
        <v>345</v>
      </c>
      <c r="D26" s="15" t="s">
        <v>367</v>
      </c>
      <c r="E26" s="15" t="s">
        <v>529</v>
      </c>
      <c r="F26" s="15" t="s">
        <v>530</v>
      </c>
      <c r="G26" s="15" t="s">
        <v>531</v>
      </c>
      <c r="H26" s="15" t="s">
        <v>532</v>
      </c>
    </row>
    <row r="27" customFormat="false" ht="15" hidden="false" customHeight="false" outlineLevel="0" collapsed="false">
      <c r="B27" s="65" t="s">
        <v>533</v>
      </c>
    </row>
    <row r="28" customFormat="false" ht="32.8" hidden="false" customHeight="false" outlineLevel="0" collapsed="false">
      <c r="B28" s="16" t="s">
        <v>534</v>
      </c>
      <c r="C28" s="17" t="n">
        <v>238050</v>
      </c>
      <c r="D28" s="17" t="n">
        <v>60734</v>
      </c>
      <c r="H28" s="72" t="s">
        <v>535</v>
      </c>
    </row>
    <row r="30" customFormat="false" ht="15" hidden="false" customHeight="false" outlineLevel="0" collapsed="false">
      <c r="B30" s="65" t="s">
        <v>536</v>
      </c>
    </row>
    <row r="31" customFormat="false" ht="15" hidden="false" customHeight="false" outlineLevel="0" collapsed="false">
      <c r="B31" s="69" t="s">
        <v>537</v>
      </c>
      <c r="E31" s="73" t="n">
        <v>1.8</v>
      </c>
      <c r="F31" s="73" t="n">
        <v>8.5</v>
      </c>
    </row>
    <row r="32" customFormat="false" ht="15" hidden="false" customHeight="false" outlineLevel="0" collapsed="false">
      <c r="B32" s="69" t="s">
        <v>538</v>
      </c>
      <c r="E32" s="73" t="n">
        <v>2.4</v>
      </c>
      <c r="F32" s="73" t="n">
        <v>9.8</v>
      </c>
    </row>
    <row r="33" customFormat="false" ht="15" hidden="false" customHeight="false" outlineLevel="0" collapsed="false">
      <c r="B33" s="69" t="s">
        <v>539</v>
      </c>
      <c r="E33" s="73" t="n">
        <v>1.5</v>
      </c>
      <c r="F33" s="73" t="n">
        <v>7.2</v>
      </c>
    </row>
    <row r="34" customFormat="false" ht="15" hidden="false" customHeight="false" outlineLevel="0" collapsed="false">
      <c r="B34" s="69" t="s">
        <v>540</v>
      </c>
      <c r="E34" s="73" t="n">
        <v>3.1</v>
      </c>
      <c r="F34" s="73" t="n">
        <v>11.4</v>
      </c>
    </row>
    <row r="35" customFormat="false" ht="15" hidden="false" customHeight="false" outlineLevel="0" collapsed="false">
      <c r="B35" s="60" t="s">
        <v>541</v>
      </c>
      <c r="C35" s="63"/>
      <c r="D35" s="63"/>
      <c r="E35" s="74" t="n">
        <f aca="false">MEDIAN(E31:E34)</f>
        <v>2.1</v>
      </c>
      <c r="F35" s="74" t="n">
        <f aca="false">MEDIAN(F31:F34)</f>
        <v>9.15</v>
      </c>
      <c r="G35" s="63"/>
      <c r="H35" s="63"/>
    </row>
    <row r="37" customFormat="false" ht="15" hidden="false" customHeight="false" outlineLevel="0" collapsed="false">
      <c r="B37" s="64" t="s">
        <v>542</v>
      </c>
      <c r="C37" s="45"/>
      <c r="D37" s="45"/>
      <c r="E37" s="45"/>
      <c r="F37" s="45"/>
      <c r="G37" s="29" t="n">
        <f aca="false">C28*E35</f>
        <v>499905</v>
      </c>
      <c r="H37" s="45"/>
    </row>
    <row r="38" customFormat="false" ht="15" hidden="false" customHeight="false" outlineLevel="0" collapsed="false">
      <c r="B38" s="64" t="s">
        <v>543</v>
      </c>
      <c r="C38" s="45"/>
      <c r="D38" s="45"/>
      <c r="E38" s="45"/>
      <c r="F38" s="45"/>
      <c r="G38" s="29" t="n">
        <f aca="false">D28*F35</f>
        <v>555716.1</v>
      </c>
      <c r="H38" s="45"/>
    </row>
    <row r="40" customFormat="false" ht="19.5" hidden="false" customHeight="true" outlineLevel="0" collapsed="false">
      <c r="B40" s="13" t="s">
        <v>544</v>
      </c>
      <c r="C40" s="13"/>
      <c r="D40" s="13"/>
      <c r="E40" s="13"/>
      <c r="F40" s="13"/>
      <c r="G40" s="13"/>
      <c r="H40" s="13"/>
    </row>
    <row r="41" customFormat="false" ht="23.85" hidden="false" customHeight="false" outlineLevel="0" collapsed="false">
      <c r="B41" s="15" t="s">
        <v>545</v>
      </c>
      <c r="E41" s="15" t="s">
        <v>546</v>
      </c>
    </row>
    <row r="42" customFormat="false" ht="15" hidden="false" customHeight="false" outlineLevel="0" collapsed="false">
      <c r="B42" s="16" t="s">
        <v>547</v>
      </c>
      <c r="E42" s="26" t="n">
        <f aca="false">E21</f>
        <v>619251.412216491</v>
      </c>
    </row>
    <row r="43" customFormat="false" ht="15" hidden="false" customHeight="false" outlineLevel="0" collapsed="false">
      <c r="B43" s="16" t="s">
        <v>548</v>
      </c>
      <c r="E43" s="26" t="n">
        <f aca="false">G37</f>
        <v>499905</v>
      </c>
    </row>
    <row r="44" customFormat="false" ht="15" hidden="false" customHeight="false" outlineLevel="0" collapsed="false">
      <c r="B44" s="16" t="s">
        <v>549</v>
      </c>
      <c r="E44" s="26" t="n">
        <f aca="false">G38</f>
        <v>555716.1</v>
      </c>
    </row>
    <row r="45" customFormat="false" ht="15" hidden="false" customHeight="false" outlineLevel="0" collapsed="false">
      <c r="B45" s="64" t="s">
        <v>550</v>
      </c>
      <c r="C45" s="45"/>
      <c r="D45" s="45"/>
      <c r="E45" s="29" t="n">
        <f aca="false">AVERAGE(E42:E44)</f>
        <v>558290.837405497</v>
      </c>
      <c r="F45" s="45"/>
      <c r="G45" s="45"/>
      <c r="H45" s="45"/>
    </row>
    <row r="61" customFormat="false" ht="84.75" hidden="false" customHeight="true" outlineLevel="0" collapsed="false">
      <c r="B61" s="37" t="s">
        <v>551</v>
      </c>
      <c r="C61" s="37"/>
      <c r="D61" s="37"/>
      <c r="E61" s="37"/>
      <c r="F61" s="37"/>
      <c r="G61" s="37"/>
      <c r="H61" s="37"/>
    </row>
  </sheetData>
  <mergeCells count="7">
    <mergeCell ref="B2:H2"/>
    <mergeCell ref="B3:H3"/>
    <mergeCell ref="B5:H5"/>
    <mergeCell ref="B11:H11"/>
    <mergeCell ref="B25:H25"/>
    <mergeCell ref="B40:H40"/>
    <mergeCell ref="B61:H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4" min="3" style="0" width="40"/>
    <col collapsed="false" customWidth="true" hidden="false" outlineLevel="0" max="5" min="5" style="0" width="3"/>
  </cols>
  <sheetData>
    <row r="2" customFormat="false" ht="27.75" hidden="false" customHeight="true" outlineLevel="0" collapsed="false">
      <c r="B2" s="11" t="s">
        <v>552</v>
      </c>
      <c r="C2" s="11"/>
      <c r="D2" s="11"/>
    </row>
    <row r="3" customFormat="false" ht="15" hidden="false" customHeight="false" outlineLevel="0" collapsed="false">
      <c r="B3" s="12" t="s">
        <v>553</v>
      </c>
      <c r="C3" s="12"/>
      <c r="D3" s="12"/>
    </row>
    <row r="5" customFormat="false" ht="19.5" hidden="false" customHeight="true" outlineLevel="0" collapsed="false">
      <c r="B5" s="75" t="s">
        <v>554</v>
      </c>
      <c r="C5" s="75"/>
      <c r="D5" s="75"/>
    </row>
    <row r="6" customFormat="false" ht="69.75" hidden="false" customHeight="true" outlineLevel="0" collapsed="false">
      <c r="B6" s="37" t="s">
        <v>555</v>
      </c>
      <c r="C6" s="37"/>
      <c r="D6" s="37"/>
    </row>
    <row r="8" customFormat="false" ht="19.5" hidden="false" customHeight="true" outlineLevel="0" collapsed="false">
      <c r="B8" s="13" t="s">
        <v>556</v>
      </c>
      <c r="C8" s="13"/>
      <c r="D8" s="13"/>
    </row>
    <row r="9" customFormat="false" ht="15" hidden="false" customHeight="false" outlineLevel="0" collapsed="false">
      <c r="B9" s="76" t="s">
        <v>557</v>
      </c>
      <c r="C9" s="77"/>
      <c r="D9" s="77"/>
    </row>
    <row r="10" customFormat="false" ht="49.5" hidden="false" customHeight="true" outlineLevel="0" collapsed="false">
      <c r="B10" s="78" t="s">
        <v>558</v>
      </c>
      <c r="C10" s="78"/>
      <c r="D10" s="78"/>
    </row>
    <row r="11" customFormat="false" ht="15" hidden="false" customHeight="false" outlineLevel="0" collapsed="false">
      <c r="B11" s="78"/>
      <c r="C11" s="78"/>
      <c r="D11" s="78"/>
    </row>
    <row r="12" customFormat="false" ht="15" hidden="false" customHeight="false" outlineLevel="0" collapsed="false">
      <c r="B12" s="76" t="s">
        <v>559</v>
      </c>
      <c r="C12" s="77"/>
      <c r="D12" s="77"/>
    </row>
    <row r="13" customFormat="false" ht="49.5" hidden="false" customHeight="true" outlineLevel="0" collapsed="false">
      <c r="B13" s="78" t="s">
        <v>560</v>
      </c>
      <c r="C13" s="78"/>
      <c r="D13" s="78"/>
    </row>
    <row r="14" customFormat="false" ht="15" hidden="false" customHeight="false" outlineLevel="0" collapsed="false">
      <c r="B14" s="78"/>
      <c r="C14" s="78"/>
      <c r="D14" s="78"/>
    </row>
    <row r="15" customFormat="false" ht="15" hidden="false" customHeight="false" outlineLevel="0" collapsed="false">
      <c r="B15" s="76" t="s">
        <v>561</v>
      </c>
      <c r="C15" s="77"/>
      <c r="D15" s="77"/>
    </row>
    <row r="16" customFormat="false" ht="49.5" hidden="false" customHeight="true" outlineLevel="0" collapsed="false">
      <c r="B16" s="78" t="s">
        <v>562</v>
      </c>
      <c r="C16" s="78"/>
      <c r="D16" s="78"/>
    </row>
    <row r="17" customFormat="false" ht="15" hidden="false" customHeight="false" outlineLevel="0" collapsed="false">
      <c r="B17" s="78"/>
      <c r="C17" s="78"/>
      <c r="D17" s="78"/>
    </row>
    <row r="18" customFormat="false" ht="15" hidden="false" customHeight="false" outlineLevel="0" collapsed="false">
      <c r="B18" s="76" t="s">
        <v>563</v>
      </c>
      <c r="C18" s="77"/>
      <c r="D18" s="77"/>
    </row>
    <row r="19" customFormat="false" ht="49.5" hidden="false" customHeight="true" outlineLevel="0" collapsed="false">
      <c r="B19" s="78" t="s">
        <v>564</v>
      </c>
      <c r="C19" s="78"/>
      <c r="D19" s="78"/>
    </row>
    <row r="20" customFormat="false" ht="15" hidden="false" customHeight="false" outlineLevel="0" collapsed="false">
      <c r="B20" s="78"/>
      <c r="C20" s="78"/>
      <c r="D20" s="78"/>
    </row>
    <row r="21" customFormat="false" ht="15" hidden="false" customHeight="false" outlineLevel="0" collapsed="false">
      <c r="B21" s="76" t="s">
        <v>565</v>
      </c>
      <c r="C21" s="77"/>
      <c r="D21" s="77"/>
    </row>
    <row r="22" customFormat="false" ht="49.5" hidden="false" customHeight="true" outlineLevel="0" collapsed="false">
      <c r="B22" s="78" t="s">
        <v>566</v>
      </c>
      <c r="C22" s="78"/>
      <c r="D22" s="78"/>
    </row>
    <row r="23" customFormat="false" ht="15" hidden="false" customHeight="false" outlineLevel="0" collapsed="false">
      <c r="B23" s="78"/>
      <c r="C23" s="78"/>
      <c r="D23" s="78"/>
    </row>
    <row r="24" customFormat="false" ht="15" hidden="false" customHeight="false" outlineLevel="0" collapsed="false">
      <c r="B24" s="76" t="s">
        <v>567</v>
      </c>
      <c r="C24" s="77"/>
      <c r="D24" s="77"/>
    </row>
    <row r="25" customFormat="false" ht="49.5" hidden="false" customHeight="true" outlineLevel="0" collapsed="false">
      <c r="B25" s="78" t="s">
        <v>568</v>
      </c>
      <c r="C25" s="78"/>
      <c r="D25" s="78"/>
    </row>
    <row r="26" customFormat="false" ht="15" hidden="false" customHeight="false" outlineLevel="0" collapsed="false">
      <c r="B26" s="78"/>
      <c r="C26" s="78"/>
      <c r="D26" s="78"/>
    </row>
    <row r="27" customFormat="false" ht="15" hidden="false" customHeight="false" outlineLevel="0" collapsed="false">
      <c r="B27" s="76" t="s">
        <v>569</v>
      </c>
      <c r="C27" s="77"/>
      <c r="D27" s="77"/>
    </row>
    <row r="28" customFormat="false" ht="49.5" hidden="false" customHeight="true" outlineLevel="0" collapsed="false">
      <c r="B28" s="78" t="s">
        <v>570</v>
      </c>
      <c r="C28" s="78"/>
      <c r="D28" s="78"/>
    </row>
    <row r="29" customFormat="false" ht="15" hidden="false" customHeight="false" outlineLevel="0" collapsed="false">
      <c r="B29" s="78"/>
      <c r="C29" s="78"/>
      <c r="D29" s="78"/>
    </row>
    <row r="31" customFormat="false" ht="19.5" hidden="false" customHeight="true" outlineLevel="0" collapsed="false">
      <c r="B31" s="21" t="s">
        <v>571</v>
      </c>
      <c r="C31" s="21"/>
      <c r="D31" s="21"/>
    </row>
    <row r="32" customFormat="false" ht="15" hidden="false" customHeight="false" outlineLevel="0" collapsed="false">
      <c r="B32" s="76" t="s">
        <v>572</v>
      </c>
      <c r="C32" s="77"/>
      <c r="D32" s="77"/>
    </row>
    <row r="33" customFormat="false" ht="49.5" hidden="false" customHeight="true" outlineLevel="0" collapsed="false">
      <c r="B33" s="78" t="s">
        <v>573</v>
      </c>
      <c r="C33" s="78"/>
      <c r="D33" s="78"/>
    </row>
    <row r="34" customFormat="false" ht="15" hidden="false" customHeight="false" outlineLevel="0" collapsed="false">
      <c r="B34" s="78"/>
      <c r="C34" s="78"/>
      <c r="D34" s="78"/>
    </row>
    <row r="35" customFormat="false" ht="15" hidden="false" customHeight="false" outlineLevel="0" collapsed="false">
      <c r="B35" s="76" t="s">
        <v>574</v>
      </c>
      <c r="C35" s="77"/>
      <c r="D35" s="77"/>
    </row>
    <row r="36" customFormat="false" ht="49.5" hidden="false" customHeight="true" outlineLevel="0" collapsed="false">
      <c r="B36" s="78" t="s">
        <v>575</v>
      </c>
      <c r="C36" s="78"/>
      <c r="D36" s="78"/>
    </row>
    <row r="37" customFormat="false" ht="15" hidden="false" customHeight="false" outlineLevel="0" collapsed="false">
      <c r="B37" s="78"/>
      <c r="C37" s="78"/>
      <c r="D37" s="78"/>
    </row>
    <row r="38" customFormat="false" ht="15" hidden="false" customHeight="false" outlineLevel="0" collapsed="false">
      <c r="B38" s="76" t="s">
        <v>576</v>
      </c>
      <c r="C38" s="77"/>
      <c r="D38" s="77"/>
    </row>
    <row r="39" customFormat="false" ht="49.5" hidden="false" customHeight="true" outlineLevel="0" collapsed="false">
      <c r="B39" s="78" t="s">
        <v>577</v>
      </c>
      <c r="C39" s="78"/>
      <c r="D39" s="78"/>
    </row>
    <row r="40" customFormat="false" ht="15" hidden="false" customHeight="false" outlineLevel="0" collapsed="false">
      <c r="B40" s="78"/>
      <c r="C40" s="78"/>
      <c r="D40" s="78"/>
    </row>
    <row r="41" customFormat="false" ht="15" hidden="false" customHeight="false" outlineLevel="0" collapsed="false">
      <c r="B41" s="76" t="s">
        <v>578</v>
      </c>
      <c r="C41" s="77"/>
      <c r="D41" s="77"/>
    </row>
    <row r="42" customFormat="false" ht="49.5" hidden="false" customHeight="true" outlineLevel="0" collapsed="false">
      <c r="B42" s="78" t="s">
        <v>579</v>
      </c>
      <c r="C42" s="78"/>
      <c r="D42" s="78"/>
    </row>
    <row r="43" customFormat="false" ht="15" hidden="false" customHeight="false" outlineLevel="0" collapsed="false">
      <c r="B43" s="78"/>
      <c r="C43" s="78"/>
      <c r="D43" s="78"/>
    </row>
    <row r="44" customFormat="false" ht="15" hidden="false" customHeight="false" outlineLevel="0" collapsed="false">
      <c r="B44" s="76" t="s">
        <v>580</v>
      </c>
      <c r="C44" s="77"/>
      <c r="D44" s="77"/>
    </row>
    <row r="45" customFormat="false" ht="49.5" hidden="false" customHeight="true" outlineLevel="0" collapsed="false">
      <c r="B45" s="78" t="s">
        <v>581</v>
      </c>
      <c r="C45" s="78"/>
      <c r="D45" s="78"/>
    </row>
    <row r="46" customFormat="false" ht="15" hidden="false" customHeight="false" outlineLevel="0" collapsed="false">
      <c r="B46" s="78"/>
      <c r="C46" s="78"/>
      <c r="D46" s="78"/>
    </row>
    <row r="48" customFormat="false" ht="19.5" hidden="false" customHeight="true" outlineLevel="0" collapsed="false">
      <c r="B48" s="8" t="s">
        <v>582</v>
      </c>
      <c r="C48" s="8"/>
      <c r="D48" s="8"/>
    </row>
    <row r="49" customFormat="false" ht="15" hidden="false" customHeight="false" outlineLevel="0" collapsed="false">
      <c r="B49" s="76" t="s">
        <v>583</v>
      </c>
      <c r="C49" s="77"/>
      <c r="D49" s="77"/>
    </row>
    <row r="50" customFormat="false" ht="49.5" hidden="false" customHeight="true" outlineLevel="0" collapsed="false">
      <c r="B50" s="78" t="s">
        <v>584</v>
      </c>
      <c r="C50" s="78"/>
      <c r="D50" s="78"/>
    </row>
    <row r="51" customFormat="false" ht="15" hidden="false" customHeight="false" outlineLevel="0" collapsed="false">
      <c r="B51" s="78"/>
      <c r="C51" s="78"/>
      <c r="D51" s="78"/>
    </row>
    <row r="52" customFormat="false" ht="15" hidden="false" customHeight="false" outlineLevel="0" collapsed="false">
      <c r="B52" s="76" t="s">
        <v>585</v>
      </c>
      <c r="C52" s="77"/>
      <c r="D52" s="77"/>
    </row>
    <row r="53" customFormat="false" ht="49.5" hidden="false" customHeight="true" outlineLevel="0" collapsed="false">
      <c r="B53" s="78" t="s">
        <v>586</v>
      </c>
      <c r="C53" s="78"/>
      <c r="D53" s="78"/>
    </row>
    <row r="54" customFormat="false" ht="15" hidden="false" customHeight="false" outlineLevel="0" collapsed="false">
      <c r="B54" s="78"/>
      <c r="C54" s="78"/>
      <c r="D54" s="78"/>
    </row>
    <row r="55" customFormat="false" ht="15" hidden="false" customHeight="false" outlineLevel="0" collapsed="false">
      <c r="B55" s="76" t="s">
        <v>587</v>
      </c>
      <c r="C55" s="77"/>
      <c r="D55" s="77"/>
    </row>
    <row r="56" customFormat="false" ht="49.5" hidden="false" customHeight="true" outlineLevel="0" collapsed="false">
      <c r="B56" s="78" t="s">
        <v>588</v>
      </c>
      <c r="C56" s="78"/>
      <c r="D56" s="78"/>
    </row>
    <row r="57" customFormat="false" ht="15" hidden="false" customHeight="false" outlineLevel="0" collapsed="false">
      <c r="B57" s="78"/>
      <c r="C57" s="78"/>
      <c r="D57" s="78"/>
    </row>
    <row r="58" customFormat="false" ht="15" hidden="false" customHeight="false" outlineLevel="0" collapsed="false">
      <c r="B58" s="76" t="s">
        <v>589</v>
      </c>
      <c r="C58" s="77"/>
      <c r="D58" s="77"/>
    </row>
    <row r="59" customFormat="false" ht="49.5" hidden="false" customHeight="true" outlineLevel="0" collapsed="false">
      <c r="B59" s="78" t="s">
        <v>590</v>
      </c>
      <c r="C59" s="78"/>
      <c r="D59" s="78"/>
    </row>
    <row r="60" customFormat="false" ht="15" hidden="false" customHeight="false" outlineLevel="0" collapsed="false">
      <c r="B60" s="78"/>
      <c r="C60" s="78"/>
      <c r="D60" s="78"/>
    </row>
    <row r="61" customFormat="false" ht="15" hidden="false" customHeight="false" outlineLevel="0" collapsed="false">
      <c r="B61" s="76" t="s">
        <v>591</v>
      </c>
      <c r="C61" s="77"/>
      <c r="D61" s="77"/>
    </row>
    <row r="62" customFormat="false" ht="49.5" hidden="false" customHeight="true" outlineLevel="0" collapsed="false">
      <c r="B62" s="78" t="s">
        <v>592</v>
      </c>
      <c r="C62" s="78"/>
      <c r="D62" s="78"/>
    </row>
    <row r="63" customFormat="false" ht="15" hidden="false" customHeight="false" outlineLevel="0" collapsed="false">
      <c r="B63" s="78"/>
      <c r="C63" s="78"/>
      <c r="D63" s="78"/>
    </row>
    <row r="65" customFormat="false" ht="19.5" hidden="false" customHeight="true" outlineLevel="0" collapsed="false">
      <c r="B65" s="13" t="s">
        <v>593</v>
      </c>
      <c r="C65" s="13"/>
      <c r="D65" s="13"/>
    </row>
    <row r="66" customFormat="false" ht="15" hidden="false" customHeight="false" outlineLevel="0" collapsed="false">
      <c r="B66" s="76" t="s">
        <v>594</v>
      </c>
      <c r="C66" s="77"/>
      <c r="D66" s="77"/>
    </row>
    <row r="67" customFormat="false" ht="49.5" hidden="false" customHeight="true" outlineLevel="0" collapsed="false">
      <c r="B67" s="78" t="s">
        <v>595</v>
      </c>
      <c r="C67" s="78"/>
      <c r="D67" s="78"/>
    </row>
    <row r="68" customFormat="false" ht="15" hidden="false" customHeight="false" outlineLevel="0" collapsed="false">
      <c r="B68" s="78"/>
      <c r="C68" s="78"/>
      <c r="D68" s="78"/>
    </row>
    <row r="69" customFormat="false" ht="15" hidden="false" customHeight="false" outlineLevel="0" collapsed="false">
      <c r="B69" s="76" t="s">
        <v>596</v>
      </c>
      <c r="C69" s="77"/>
      <c r="D69" s="77"/>
    </row>
    <row r="70" customFormat="false" ht="49.5" hidden="false" customHeight="true" outlineLevel="0" collapsed="false">
      <c r="B70" s="78" t="s">
        <v>597</v>
      </c>
      <c r="C70" s="78"/>
      <c r="D70" s="78"/>
    </row>
    <row r="71" customFormat="false" ht="15" hidden="false" customHeight="false" outlineLevel="0" collapsed="false">
      <c r="B71" s="78"/>
      <c r="C71" s="78"/>
      <c r="D71" s="78"/>
    </row>
    <row r="72" customFormat="false" ht="15" hidden="false" customHeight="false" outlineLevel="0" collapsed="false">
      <c r="B72" s="76" t="s">
        <v>598</v>
      </c>
      <c r="C72" s="77"/>
      <c r="D72" s="77"/>
    </row>
    <row r="73" customFormat="false" ht="49.5" hidden="false" customHeight="true" outlineLevel="0" collapsed="false">
      <c r="B73" s="78" t="s">
        <v>599</v>
      </c>
      <c r="C73" s="78"/>
      <c r="D73" s="78"/>
    </row>
    <row r="74" customFormat="false" ht="15" hidden="false" customHeight="false" outlineLevel="0" collapsed="false">
      <c r="B74" s="78"/>
      <c r="C74" s="78"/>
      <c r="D74" s="78"/>
    </row>
    <row r="75" customFormat="false" ht="15" hidden="false" customHeight="false" outlineLevel="0" collapsed="false">
      <c r="B75" s="76" t="s">
        <v>600</v>
      </c>
      <c r="C75" s="77"/>
      <c r="D75" s="77"/>
    </row>
    <row r="76" customFormat="false" ht="49.5" hidden="false" customHeight="true" outlineLevel="0" collapsed="false">
      <c r="B76" s="78" t="s">
        <v>601</v>
      </c>
      <c r="C76" s="78"/>
      <c r="D76" s="78"/>
    </row>
    <row r="77" customFormat="false" ht="15" hidden="false" customHeight="false" outlineLevel="0" collapsed="false">
      <c r="B77" s="78"/>
      <c r="C77" s="78"/>
      <c r="D77" s="78"/>
    </row>
    <row r="78" customFormat="false" ht="15" hidden="false" customHeight="false" outlineLevel="0" collapsed="false">
      <c r="B78" s="76" t="s">
        <v>602</v>
      </c>
      <c r="C78" s="77"/>
      <c r="D78" s="77"/>
    </row>
    <row r="79" customFormat="false" ht="49.5" hidden="false" customHeight="true" outlineLevel="0" collapsed="false">
      <c r="B79" s="78" t="s">
        <v>603</v>
      </c>
      <c r="C79" s="78"/>
      <c r="D79" s="78"/>
    </row>
    <row r="80" customFormat="false" ht="15" hidden="false" customHeight="false" outlineLevel="0" collapsed="false">
      <c r="B80" s="78"/>
      <c r="C80" s="78"/>
      <c r="D80" s="78"/>
    </row>
    <row r="82" customFormat="false" ht="19.5" hidden="false" customHeight="true" outlineLevel="0" collapsed="false">
      <c r="B82" s="21" t="s">
        <v>604</v>
      </c>
      <c r="C82" s="21"/>
      <c r="D82" s="21"/>
    </row>
    <row r="83" customFormat="false" ht="54.75" hidden="false" customHeight="true" outlineLevel="0" collapsed="false">
      <c r="B83" s="37" t="s">
        <v>605</v>
      </c>
      <c r="C83" s="37"/>
      <c r="D83" s="37"/>
    </row>
  </sheetData>
  <mergeCells count="54">
    <mergeCell ref="B2:D2"/>
    <mergeCell ref="B3:D3"/>
    <mergeCell ref="B5:D5"/>
    <mergeCell ref="B6:D6"/>
    <mergeCell ref="B8:D8"/>
    <mergeCell ref="C9:D9"/>
    <mergeCell ref="B10:D11"/>
    <mergeCell ref="C12:D12"/>
    <mergeCell ref="B13:D14"/>
    <mergeCell ref="C15:D15"/>
    <mergeCell ref="B16:D17"/>
    <mergeCell ref="C18:D18"/>
    <mergeCell ref="B19:D20"/>
    <mergeCell ref="C21:D21"/>
    <mergeCell ref="B22:D23"/>
    <mergeCell ref="C24:D24"/>
    <mergeCell ref="B25:D26"/>
    <mergeCell ref="C27:D27"/>
    <mergeCell ref="B28:D29"/>
    <mergeCell ref="B31:D31"/>
    <mergeCell ref="C32:D32"/>
    <mergeCell ref="B33:D34"/>
    <mergeCell ref="C35:D35"/>
    <mergeCell ref="B36:D37"/>
    <mergeCell ref="C38:D38"/>
    <mergeCell ref="B39:D40"/>
    <mergeCell ref="C41:D41"/>
    <mergeCell ref="B42:D43"/>
    <mergeCell ref="C44:D44"/>
    <mergeCell ref="B45:D46"/>
    <mergeCell ref="B48:D48"/>
    <mergeCell ref="C49:D49"/>
    <mergeCell ref="B50:D51"/>
    <mergeCell ref="C52:D52"/>
    <mergeCell ref="B53:D54"/>
    <mergeCell ref="C55:D55"/>
    <mergeCell ref="B56:D57"/>
    <mergeCell ref="C58:D58"/>
    <mergeCell ref="B59:D60"/>
    <mergeCell ref="C61:D61"/>
    <mergeCell ref="B62:D63"/>
    <mergeCell ref="B65:D65"/>
    <mergeCell ref="C66:D66"/>
    <mergeCell ref="B67:D68"/>
    <mergeCell ref="C69:D69"/>
    <mergeCell ref="B70:D71"/>
    <mergeCell ref="C72:D72"/>
    <mergeCell ref="B73:D74"/>
    <mergeCell ref="C75:D75"/>
    <mergeCell ref="B76:D77"/>
    <mergeCell ref="C78:D78"/>
    <mergeCell ref="B79:D80"/>
    <mergeCell ref="B82:D82"/>
    <mergeCell ref="B83:D8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2026-06-21T19:00:46Z</dcterms:created>
  <dc:creator>openpyxl</dc:creator>
  <dc:description/>
  <dc:language>en-US</dc:language>
  <cp:lastModifiedBy/>
  <dcterms:modified xsi:type="dcterms:W3CDTF">2026-06-21T19:00:53Z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